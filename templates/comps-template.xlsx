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Data" sheetId="1" state="visible" r:id="rId1"/>
    <sheet name="Trading Multi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#,##0.0"/>
    <numFmt numFmtId="166" formatCode="0.0x"/>
    <numFmt numFmtId="167" formatCode="0.0%"/>
    <numFmt numFmtId="168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2C5F8A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2F6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0" pivotButton="0" quotePrefix="0" xfId="0"/>
    <xf numFmtId="166" fontId="4" fillId="5" borderId="1" pivotButton="0" quotePrefix="0" xfId="0"/>
    <xf numFmtId="167" fontId="4" fillId="5" borderId="1" pivotButton="0" quotePrefix="0" xfId="0"/>
    <xf numFmtId="0" fontId="7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8" fillId="0" borderId="0" pivotButton="0" quotePrefix="0" xfId="0"/>
    <xf numFmtId="0" fontId="9" fillId="0" borderId="1" pivotButton="0" quotePrefix="0" xfId="0"/>
    <xf numFmtId="3" fontId="4" fillId="0" borderId="1" pivotButton="0" quotePrefix="0" xfId="0"/>
    <xf numFmtId="168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  <col width="18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Comparable Company Analysis — MELI</t>
        </is>
      </c>
    </row>
    <row r="2">
      <c r="A2" s="2" t="inlineStr">
        <is>
          <t>Source: Yahoo Finance, MacroTrends, StockAnalysis, Company Filings (Feb 2026)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Exchange</t>
        </is>
      </c>
      <c r="D4" s="3" t="inlineStr">
        <is>
          <t>Stock Price ($)</t>
        </is>
      </c>
      <c r="E4" s="3" t="inlineStr">
        <is>
          <t>Shares Out (M)</t>
        </is>
      </c>
      <c r="F4" s="3" t="inlineStr">
        <is>
          <t>Market Cap ($M)</t>
        </is>
      </c>
      <c r="G4" s="3" t="inlineStr">
        <is>
          <t>Cash ($M)</t>
        </is>
      </c>
      <c r="H4" s="3" t="inlineStr">
        <is>
          <t>Total Debt ($M)</t>
        </is>
      </c>
      <c r="I4" s="3" t="inlineStr">
        <is>
          <t>Enterprise Value ($M)</t>
        </is>
      </c>
      <c r="J4" s="3" t="inlineStr">
        <is>
          <t>Revenue TTM ($M)</t>
        </is>
      </c>
      <c r="K4" s="3" t="inlineStr">
        <is>
          <t>EBITDA TTM ($M)</t>
        </is>
      </c>
      <c r="L4" s="3" t="inlineStr">
        <is>
          <t>Net Income TTM ($M)</t>
        </is>
      </c>
      <c r="M4" s="3" t="inlineStr">
        <is>
          <t>Book Value ($M)</t>
        </is>
      </c>
    </row>
    <row r="5">
      <c r="A5" s="4" t="inlineStr">
        <is>
          <t>MercadoLibre</t>
        </is>
      </c>
      <c r="B5" s="5" t="inlineStr">
        <is>
          <t>MELI</t>
        </is>
      </c>
      <c r="C5" s="5" t="inlineStr">
        <is>
          <t>NASDAQ</t>
        </is>
      </c>
      <c r="D5" s="6" t="n">
        <v>1774</v>
      </c>
      <c r="E5" s="7" t="n">
        <v>50.7</v>
      </c>
      <c r="F5" s="8">
        <f>D5*E5</f>
        <v/>
      </c>
      <c r="G5" s="9" t="n">
        <v>2600</v>
      </c>
      <c r="H5" s="9" t="n">
        <v>7200</v>
      </c>
      <c r="I5" s="8">
        <f>F5+H5-G5</f>
        <v/>
      </c>
      <c r="J5" s="9" t="n">
        <v>20777</v>
      </c>
      <c r="K5" s="9" t="n">
        <v>3200</v>
      </c>
      <c r="L5" s="9" t="n">
        <v>1911</v>
      </c>
      <c r="M5" s="9" t="n">
        <v>5700</v>
      </c>
    </row>
    <row r="6">
      <c r="A6" s="10" t="inlineStr">
        <is>
          <t>Nu Holdings</t>
        </is>
      </c>
      <c r="B6" s="11" t="inlineStr">
        <is>
          <t>NU</t>
        </is>
      </c>
      <c r="C6" s="11" t="inlineStr">
        <is>
          <t>NYSE</t>
        </is>
      </c>
      <c r="D6" s="12" t="n">
        <v>16.53</v>
      </c>
      <c r="E6" s="13" t="n">
        <v>4800</v>
      </c>
      <c r="F6" s="14">
        <f>D6*E6</f>
        <v/>
      </c>
      <c r="G6" s="15" t="n">
        <v>8500</v>
      </c>
      <c r="H6" s="15" t="n">
        <v>2100</v>
      </c>
      <c r="I6" s="14">
        <f>F6+H6-G6</f>
        <v/>
      </c>
      <c r="J6" s="15" t="n">
        <v>16300</v>
      </c>
      <c r="K6" s="15" t="n">
        <v>3500</v>
      </c>
      <c r="L6" s="15" t="n">
        <v>2900</v>
      </c>
      <c r="M6" s="15" t="n">
        <v>9200</v>
      </c>
    </row>
    <row r="7">
      <c r="A7" s="16" t="inlineStr">
        <is>
          <t>Sea Limited</t>
        </is>
      </c>
      <c r="B7" s="17" t="inlineStr">
        <is>
          <t>SE</t>
        </is>
      </c>
      <c r="C7" s="17" t="inlineStr">
        <is>
          <t>NYSE</t>
        </is>
      </c>
      <c r="D7" s="18" t="n">
        <v>128</v>
      </c>
      <c r="E7" s="19" t="n">
        <v>570</v>
      </c>
      <c r="F7" s="20">
        <f>D7*E7</f>
        <v/>
      </c>
      <c r="G7" s="21" t="n">
        <v>9200</v>
      </c>
      <c r="H7" s="21" t="n">
        <v>4800</v>
      </c>
      <c r="I7" s="20">
        <f>F7+H7-G7</f>
        <v/>
      </c>
      <c r="J7" s="21" t="n">
        <v>16800</v>
      </c>
      <c r="K7" s="21" t="n">
        <v>2000</v>
      </c>
      <c r="L7" s="21" t="n">
        <v>448</v>
      </c>
      <c r="M7" s="21" t="n">
        <v>12000</v>
      </c>
    </row>
    <row r="8">
      <c r="A8" s="10" t="inlineStr">
        <is>
          <t>StoneCo</t>
        </is>
      </c>
      <c r="B8" s="11" t="inlineStr">
        <is>
          <t>STNE</t>
        </is>
      </c>
      <c r="C8" s="11" t="inlineStr">
        <is>
          <t>NASDAQ</t>
        </is>
      </c>
      <c r="D8" s="12" t="n">
        <v>22</v>
      </c>
      <c r="E8" s="13" t="n">
        <v>290</v>
      </c>
      <c r="F8" s="14">
        <f>D8*E8</f>
        <v/>
      </c>
      <c r="G8" s="15" t="n">
        <v>1800</v>
      </c>
      <c r="H8" s="15" t="n">
        <v>800</v>
      </c>
      <c r="I8" s="14">
        <f>F8+H8-G8</f>
        <v/>
      </c>
      <c r="J8" s="15" t="n">
        <v>2458</v>
      </c>
      <c r="K8" s="15" t="n">
        <v>650</v>
      </c>
      <c r="L8" s="15" t="n">
        <v>380</v>
      </c>
      <c r="M8" s="15" t="n">
        <v>2800</v>
      </c>
    </row>
    <row r="9">
      <c r="A9" s="16" t="inlineStr">
        <is>
          <t>PagSeguro</t>
        </is>
      </c>
      <c r="B9" s="17" t="inlineStr">
        <is>
          <t>PAGS</t>
        </is>
      </c>
      <c r="C9" s="17" t="inlineStr">
        <is>
          <t>NYSE</t>
        </is>
      </c>
      <c r="D9" s="18" t="n">
        <v>10.77</v>
      </c>
      <c r="E9" s="19" t="n">
        <v>310</v>
      </c>
      <c r="F9" s="20">
        <f>D9*E9</f>
        <v/>
      </c>
      <c r="G9" s="21" t="n">
        <v>2200</v>
      </c>
      <c r="H9" s="21" t="n">
        <v>1500</v>
      </c>
      <c r="I9" s="20">
        <f>F9+H9-G9</f>
        <v/>
      </c>
      <c r="J9" s="21" t="n">
        <v>4500</v>
      </c>
      <c r="K9" s="21" t="n">
        <v>900</v>
      </c>
      <c r="L9" s="21" t="n">
        <v>500</v>
      </c>
      <c r="M9" s="21" t="n">
        <v>3500</v>
      </c>
    </row>
    <row r="10">
      <c r="A10" s="10" t="inlineStr">
        <is>
          <t>DLocal</t>
        </is>
      </c>
      <c r="B10" s="11" t="inlineStr">
        <is>
          <t>DLO</t>
        </is>
      </c>
      <c r="C10" s="11" t="inlineStr">
        <is>
          <t>NASDAQ</t>
        </is>
      </c>
      <c r="D10" s="12" t="n">
        <v>13.5</v>
      </c>
      <c r="E10" s="13" t="n">
        <v>295</v>
      </c>
      <c r="F10" s="14">
        <f>D10*E10</f>
        <v/>
      </c>
      <c r="G10" s="15" t="n">
        <v>450</v>
      </c>
      <c r="H10" s="15" t="n">
        <v>50</v>
      </c>
      <c r="I10" s="14">
        <f>F10+H10-G10</f>
        <v/>
      </c>
      <c r="J10" s="15" t="n">
        <v>746</v>
      </c>
      <c r="K10" s="15" t="n">
        <v>189</v>
      </c>
      <c r="L10" s="15" t="n">
        <v>133</v>
      </c>
      <c r="M10" s="15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Trading Multiples — MELI vs Peers</t>
        </is>
      </c>
    </row>
    <row r="3">
      <c r="A3" s="3" t="inlineStr">
        <is>
          <t>Company</t>
        </is>
      </c>
      <c r="B3" s="3" t="inlineStr">
        <is>
          <t>Ticker</t>
        </is>
      </c>
      <c r="C3" s="3" t="inlineStr">
        <is>
          <t>EV/Revenue</t>
        </is>
      </c>
      <c r="D3" s="3" t="inlineStr">
        <is>
          <t>EV/EBITDA</t>
        </is>
      </c>
      <c r="E3" s="3" t="inlineStr">
        <is>
          <t>P/E</t>
        </is>
      </c>
      <c r="F3" s="3" t="inlineStr">
        <is>
          <t>P/Book</t>
        </is>
      </c>
      <c r="G3" s="3" t="inlineStr">
        <is>
          <t>Revenue Gr. YoY</t>
        </is>
      </c>
      <c r="H3" s="3" t="inlineStr">
        <is>
          <t>EBITDA Margin</t>
        </is>
      </c>
      <c r="I3" s="3" t="inlineStr">
        <is>
          <t>Net Margin</t>
        </is>
      </c>
      <c r="J3" s="3" t="inlineStr">
        <is>
          <t>ROE</t>
        </is>
      </c>
    </row>
    <row r="4">
      <c r="A4" s="22">
        <f>'Company Data'!A5</f>
        <v/>
      </c>
      <c r="B4" s="23">
        <f>'Company Data'!B5</f>
        <v/>
      </c>
      <c r="C4" s="24">
        <f>'Company Data'!I5/'Company Data'!J5</f>
        <v/>
      </c>
      <c r="D4" s="24">
        <f>'Company Data'!I5/'Company Data'!K5</f>
        <v/>
      </c>
      <c r="E4" s="24">
        <f>'Company Data'!F5/'Company Data'!L5</f>
        <v/>
      </c>
      <c r="F4" s="24">
        <f>'Company Data'!F5/'Company Data'!M5</f>
        <v/>
      </c>
      <c r="G4" s="25" t="n">
        <v>0.375</v>
      </c>
      <c r="H4" s="26">
        <f>'Company Data'!K5/'Company Data'!J5</f>
        <v/>
      </c>
      <c r="I4" s="26">
        <f>'Company Data'!L5/'Company Data'!J5</f>
        <v/>
      </c>
      <c r="J4" s="26">
        <f>'Company Data'!L5/'Company Data'!M5</f>
        <v/>
      </c>
    </row>
    <row r="5">
      <c r="A5" s="27">
        <f>'Company Data'!A6</f>
        <v/>
      </c>
      <c r="B5" s="28">
        <f>'Company Data'!B6</f>
        <v/>
      </c>
      <c r="C5" s="29">
        <f>'Company Data'!I6/'Company Data'!J6</f>
        <v/>
      </c>
      <c r="D5" s="29">
        <f>'Company Data'!I6/'Company Data'!K6</f>
        <v/>
      </c>
      <c r="E5" s="29">
        <f>'Company Data'!F6/'Company Data'!L6</f>
        <v/>
      </c>
      <c r="F5" s="29">
        <f>'Company Data'!F6/'Company Data'!M6</f>
        <v/>
      </c>
      <c r="G5" s="30" t="n">
        <v>0.45</v>
      </c>
      <c r="H5" s="31">
        <f>'Company Data'!K6/'Company Data'!J6</f>
        <v/>
      </c>
      <c r="I5" s="31">
        <f>'Company Data'!L6/'Company Data'!J6</f>
        <v/>
      </c>
      <c r="J5" s="31">
        <f>'Company Data'!L6/'Company Data'!M6</f>
        <v/>
      </c>
    </row>
    <row r="6">
      <c r="A6" s="32">
        <f>'Company Data'!A7</f>
        <v/>
      </c>
      <c r="B6" s="33">
        <f>'Company Data'!B7</f>
        <v/>
      </c>
      <c r="C6" s="34">
        <f>'Company Data'!I7/'Company Data'!J7</f>
        <v/>
      </c>
      <c r="D6" s="34">
        <f>'Company Data'!I7/'Company Data'!K7</f>
        <v/>
      </c>
      <c r="E6" s="34">
        <f>'Company Data'!F7/'Company Data'!L7</f>
        <v/>
      </c>
      <c r="F6" s="34">
        <f>'Company Data'!F7/'Company Data'!M7</f>
        <v/>
      </c>
      <c r="G6" s="35" t="n">
        <v>0.29</v>
      </c>
      <c r="H6" s="36">
        <f>'Company Data'!K7/'Company Data'!J7</f>
        <v/>
      </c>
      <c r="I6" s="36">
        <f>'Company Data'!L7/'Company Data'!J7</f>
        <v/>
      </c>
      <c r="J6" s="36">
        <f>'Company Data'!L7/'Company Data'!M7</f>
        <v/>
      </c>
    </row>
    <row r="7">
      <c r="A7" s="27">
        <f>'Company Data'!A8</f>
        <v/>
      </c>
      <c r="B7" s="28">
        <f>'Company Data'!B8</f>
        <v/>
      </c>
      <c r="C7" s="29">
        <f>'Company Data'!I8/'Company Data'!J8</f>
        <v/>
      </c>
      <c r="D7" s="29">
        <f>'Company Data'!I8/'Company Data'!K8</f>
        <v/>
      </c>
      <c r="E7" s="29">
        <f>'Company Data'!F8/'Company Data'!L8</f>
        <v/>
      </c>
      <c r="F7" s="29">
        <f>'Company Data'!F8/'Company Data'!M8</f>
        <v/>
      </c>
      <c r="G7" s="30" t="n">
        <v>0.1</v>
      </c>
      <c r="H7" s="31">
        <f>'Company Data'!K8/'Company Data'!J8</f>
        <v/>
      </c>
      <c r="I7" s="31">
        <f>'Company Data'!L8/'Company Data'!J8</f>
        <v/>
      </c>
      <c r="J7" s="31">
        <f>'Company Data'!L8/'Company Data'!M8</f>
        <v/>
      </c>
    </row>
    <row r="8">
      <c r="A8" s="32">
        <f>'Company Data'!A9</f>
        <v/>
      </c>
      <c r="B8" s="33">
        <f>'Company Data'!B9</f>
        <v/>
      </c>
      <c r="C8" s="34">
        <f>'Company Data'!I9/'Company Data'!J9</f>
        <v/>
      </c>
      <c r="D8" s="34">
        <f>'Company Data'!I9/'Company Data'!K9</f>
        <v/>
      </c>
      <c r="E8" s="34">
        <f>'Company Data'!F9/'Company Data'!L9</f>
        <v/>
      </c>
      <c r="F8" s="34">
        <f>'Company Data'!F9/'Company Data'!M9</f>
        <v/>
      </c>
      <c r="G8" s="35" t="n">
        <v>0.2</v>
      </c>
      <c r="H8" s="36">
        <f>'Company Data'!K9/'Company Data'!J9</f>
        <v/>
      </c>
      <c r="I8" s="36">
        <f>'Company Data'!L9/'Company Data'!J9</f>
        <v/>
      </c>
      <c r="J8" s="36">
        <f>'Company Data'!L9/'Company Data'!M9</f>
        <v/>
      </c>
    </row>
    <row r="9">
      <c r="A9" s="27">
        <f>'Company Data'!A10</f>
        <v/>
      </c>
      <c r="B9" s="28">
        <f>'Company Data'!B10</f>
        <v/>
      </c>
      <c r="C9" s="29">
        <f>'Company Data'!I10/'Company Data'!J10</f>
        <v/>
      </c>
      <c r="D9" s="29">
        <f>'Company Data'!I10/'Company Data'!K10</f>
        <v/>
      </c>
      <c r="E9" s="29">
        <f>'Company Data'!F10/'Company Data'!L10</f>
        <v/>
      </c>
      <c r="F9" s="29">
        <f>'Company Data'!F10/'Company Data'!M10</f>
        <v/>
      </c>
      <c r="G9" s="30" t="n">
        <v>0.15</v>
      </c>
      <c r="H9" s="31">
        <f>'Company Data'!K10/'Company Data'!J10</f>
        <v/>
      </c>
      <c r="I9" s="31">
        <f>'Company Data'!L10/'Company Data'!J10</f>
        <v/>
      </c>
      <c r="J9" s="31">
        <f>'Company Data'!L10/'Company Data'!M10</f>
        <v/>
      </c>
    </row>
    <row r="11">
      <c r="A11" s="37" t="inlineStr">
        <is>
          <t>Median</t>
        </is>
      </c>
      <c r="B11" s="38" t="n"/>
      <c r="C11" s="39">
        <f>MEDIAN(C4:C9)</f>
        <v/>
      </c>
      <c r="D11" s="39">
        <f>MEDIAN(D4:D9)</f>
        <v/>
      </c>
      <c r="E11" s="39">
        <f>MEDIAN(E4:E9)</f>
        <v/>
      </c>
      <c r="F11" s="39">
        <f>MEDIAN(F4:F9)</f>
        <v/>
      </c>
      <c r="G11" s="40">
        <f>MEDIAN(G4:G9)</f>
        <v/>
      </c>
      <c r="H11" s="40">
        <f>MEDIAN(H4:H9)</f>
        <v/>
      </c>
      <c r="I11" s="40">
        <f>MEDIAN(I4:I9)</f>
        <v/>
      </c>
      <c r="J11" s="40">
        <f>MEDIAN(J4:J9)</f>
        <v/>
      </c>
    </row>
    <row r="12">
      <c r="A12" s="41" t="inlineStr">
        <is>
          <t>Mean</t>
        </is>
      </c>
      <c r="C12" s="42">
        <f>AVERAGE(C4:C9)</f>
        <v/>
      </c>
      <c r="D12" s="42">
        <f>AVERAGE(D4:D9)</f>
        <v/>
      </c>
      <c r="E12" s="42">
        <f>AVERAGE(E4:E9)</f>
        <v/>
      </c>
      <c r="F12" s="42">
        <f>AVERAGE(F4:F9)</f>
        <v/>
      </c>
      <c r="G12" s="43">
        <f>AVERAGE(G4:G9)</f>
        <v/>
      </c>
      <c r="H12" s="43">
        <f>AVERAGE(H4:H9)</f>
        <v/>
      </c>
      <c r="I12" s="43">
        <f>AVERAGE(I4:I9)</f>
        <v/>
      </c>
      <c r="J12" s="43">
        <f>AVERAGE(J4:J9)</f>
        <v/>
      </c>
    </row>
    <row r="13">
      <c r="A13" s="41" t="inlineStr">
        <is>
          <t>Min</t>
        </is>
      </c>
      <c r="C13" s="42">
        <f>MIN(C4:C9)</f>
        <v/>
      </c>
      <c r="D13" s="42">
        <f>MIN(D4:D9)</f>
        <v/>
      </c>
      <c r="E13" s="42">
        <f>MIN(E4:E9)</f>
        <v/>
      </c>
      <c r="F13" s="42">
        <f>MIN(F4:F9)</f>
        <v/>
      </c>
      <c r="G13" s="43">
        <f>MIN(G4:G9)</f>
        <v/>
      </c>
      <c r="H13" s="43">
        <f>MIN(H4:H9)</f>
        <v/>
      </c>
      <c r="I13" s="43">
        <f>MIN(I4:I9)</f>
        <v/>
      </c>
      <c r="J13" s="43">
        <f>MIN(J4:J9)</f>
        <v/>
      </c>
    </row>
    <row r="14">
      <c r="A14" s="41" t="inlineStr">
        <is>
          <t>Max</t>
        </is>
      </c>
      <c r="C14" s="42">
        <f>MAX(C4:C9)</f>
        <v/>
      </c>
      <c r="D14" s="42">
        <f>MAX(D4:D9)</f>
        <v/>
      </c>
      <c r="E14" s="42">
        <f>MAX(E4:E9)</f>
        <v/>
      </c>
      <c r="F14" s="42">
        <f>MAX(F4:F9)</f>
        <v/>
      </c>
      <c r="G14" s="43">
        <f>MAX(G4:G9)</f>
        <v/>
      </c>
      <c r="H14" s="43">
        <f>MAX(H4:H9)</f>
        <v/>
      </c>
      <c r="I14" s="43">
        <f>MAX(I4:I9)</f>
        <v/>
      </c>
      <c r="J14" s="43">
        <f>MAX(J4:J9)</f>
        <v/>
      </c>
    </row>
    <row r="16">
      <c r="A16" s="44" t="inlineStr">
        <is>
          <t>Implied Valuation for MELI</t>
        </is>
      </c>
    </row>
    <row r="17">
      <c r="A17" s="3" t="inlineStr">
        <is>
          <t>Method</t>
        </is>
      </c>
      <c r="B17" s="3" t="inlineStr">
        <is>
          <t>Multiple Applied</t>
        </is>
      </c>
      <c r="C17" s="3" t="inlineStr">
        <is>
          <t>MELI Metric ($M)</t>
        </is>
      </c>
      <c r="D17" s="3" t="inlineStr">
        <is>
          <t>Implied EV/Equity ($M)</t>
        </is>
      </c>
      <c r="E17" s="3" t="inlineStr">
        <is>
          <t>Implied Price/Share ($)</t>
        </is>
      </c>
    </row>
    <row r="18">
      <c r="A18" s="45" t="inlineStr">
        <is>
          <t>EV/Revenue (Median)</t>
        </is>
      </c>
      <c r="B18" s="42">
        <f>C11</f>
        <v/>
      </c>
      <c r="C18" s="46">
        <f>'Company Data'!J5</f>
        <v/>
      </c>
      <c r="D18" s="46">
        <f>B18*C18</f>
        <v/>
      </c>
      <c r="E18" s="47">
        <f>(D18-'Company Data'!H5+'Company Data'!G5)/'Company Data'!E5</f>
        <v/>
      </c>
    </row>
    <row r="19">
      <c r="A19" s="45" t="inlineStr">
        <is>
          <t>EV/EBITDA (Median)</t>
        </is>
      </c>
      <c r="B19" s="42">
        <f>D11</f>
        <v/>
      </c>
      <c r="C19" s="46">
        <f>'Company Data'!K5</f>
        <v/>
      </c>
      <c r="D19" s="46">
        <f>B19*C19</f>
        <v/>
      </c>
      <c r="E19" s="47">
        <f>(D19-'Company Data'!H5+'Company Data'!G5)/'Company Data'!E5</f>
        <v/>
      </c>
    </row>
    <row r="20">
      <c r="A20" s="45" t="inlineStr">
        <is>
          <t>P/E (Median)</t>
        </is>
      </c>
      <c r="B20" s="42">
        <f>E11</f>
        <v/>
      </c>
      <c r="C20" s="46">
        <f>'Company Data'!L5</f>
        <v/>
      </c>
      <c r="D20" s="46">
        <f>B20*C20</f>
        <v/>
      </c>
      <c r="E20" s="47">
        <f>D20/'Company Data'!E5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2026-02-27T00:09:11Z</dcterms:created>
  <dcterms:modified xsi:type="dcterms:W3CDTF">2026-02-27T00:09:11Z</dcterms:modified>
</cp:coreProperties>
</file>