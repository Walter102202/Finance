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sis" sheetId="1" state="visible" r:id="rId1"/>
    <sheet name="Change Log" sheetId="2" state="visible" r:id="rId2"/>
    <sheet name="Ra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C5F8A"/>
      <sz val="11"/>
    </font>
    <font>
      <name val="Arial"/>
      <b val="1"/>
      <sz val="10"/>
    </font>
    <font>
      <name val="Arial"/>
      <b val="1"/>
      <color rgb="001B6B3A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22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Thesis Tracker — MELI (MercadoLibre)</t>
        </is>
      </c>
    </row>
    <row r="2">
      <c r="A2" s="2" t="inlineStr">
        <is>
          <t>Last Updated: 2026-02-26</t>
        </is>
      </c>
    </row>
    <row r="4">
      <c r="A4" s="3" t="inlineStr">
        <is>
          <t>#</t>
        </is>
      </c>
      <c r="B4" s="3" t="inlineStr">
        <is>
          <t>Thesis Pillar</t>
        </is>
      </c>
      <c r="C4" s="3" t="inlineStr">
        <is>
          <t>Description</t>
        </is>
      </c>
      <c r="D4" s="3" t="inlineStr">
        <is>
          <t>KPI</t>
        </is>
      </c>
      <c r="E4" s="3" t="inlineStr">
        <is>
          <t>Expected</t>
        </is>
      </c>
      <c r="F4" s="3" t="inlineStr">
        <is>
          <t>Actual</t>
        </is>
      </c>
      <c r="G4" s="3" t="inlineStr">
        <is>
          <t>Status</t>
        </is>
      </c>
      <c r="H4" s="3" t="inlineStr">
        <is>
          <t>Conviction (1-5)</t>
        </is>
      </c>
      <c r="I4" s="3" t="inlineStr">
        <is>
          <t>Last Checked</t>
        </is>
      </c>
    </row>
    <row r="5">
      <c r="A5" s="4" t="inlineStr">
        <is>
          <t>1</t>
        </is>
      </c>
      <c r="B5" s="5" t="inlineStr">
        <is>
          <t>Ecosystem Moat</t>
        </is>
      </c>
      <c r="C5" s="5" t="inlineStr">
        <is>
          <t>Integrated marketplace + payments + logistics + credit + ads creates network effects no single competitor can replicate</t>
        </is>
      </c>
      <c r="D5" s="5" t="inlineStr">
        <is>
          <t>Unique Buyers (M)</t>
        </is>
      </c>
      <c r="E5" s="6" t="inlineStr">
        <is>
          <t>105M+ (2025E)</t>
        </is>
      </c>
      <c r="F5" s="6" t="inlineStr">
        <is>
          <t>100M (2024A)</t>
        </is>
      </c>
      <c r="G5" s="4" t="inlineStr">
        <is>
          <t>On Track</t>
        </is>
      </c>
      <c r="H5" s="4" t="n">
        <v>5</v>
      </c>
      <c r="I5" s="4" t="inlineStr">
        <is>
          <t>2026-02-26</t>
        </is>
      </c>
    </row>
    <row r="6">
      <c r="A6" s="4" t="inlineStr">
        <is>
          <t>2</t>
        </is>
      </c>
      <c r="B6" s="5" t="inlineStr">
        <is>
          <t>Take Rate Expansion</t>
        </is>
      </c>
      <c r="C6" s="5" t="inlineStr">
        <is>
          <t>Advertising, credit, and logistics services layering onto marketplace GMV drives take rate expansion</t>
        </is>
      </c>
      <c r="D6" s="5" t="inlineStr">
        <is>
          <t>Take Rate %</t>
        </is>
      </c>
      <c r="E6" s="6" t="inlineStr">
        <is>
          <t>&gt;19.5% (2025E)</t>
        </is>
      </c>
      <c r="F6" s="6" t="inlineStr">
        <is>
          <t>19.0% (2024A)</t>
        </is>
      </c>
      <c r="G6" s="4" t="inlineStr">
        <is>
          <t>On Track</t>
        </is>
      </c>
      <c r="H6" s="4" t="n">
        <v>4</v>
      </c>
      <c r="I6" s="4" t="inlineStr">
        <is>
          <t>2026-02-26</t>
        </is>
      </c>
    </row>
    <row r="7">
      <c r="A7" s="4" t="inlineStr">
        <is>
          <t>3</t>
        </is>
      </c>
      <c r="B7" s="5" t="inlineStr">
        <is>
          <t>Fintech Scaling</t>
        </is>
      </c>
      <c r="C7" s="5" t="inlineStr">
        <is>
          <t>Mercado Pago growing off-platform, credit portfolio scaling with controlled NPLs</t>
        </is>
      </c>
      <c r="D7" s="5" t="inlineStr">
        <is>
          <t>Off-platform TPV %</t>
        </is>
      </c>
      <c r="E7" s="6" t="inlineStr">
        <is>
          <t>&gt;68% (2025E)</t>
        </is>
      </c>
      <c r="F7" s="6" t="inlineStr">
        <is>
          <t>65% (2024A)</t>
        </is>
      </c>
      <c r="G7" s="4" t="inlineStr">
        <is>
          <t>On Track</t>
        </is>
      </c>
      <c r="H7" s="4" t="n">
        <v>4</v>
      </c>
      <c r="I7" s="4" t="inlineStr">
        <is>
          <t>2026-02-26</t>
        </is>
      </c>
    </row>
    <row r="8">
      <c r="A8" s="4" t="inlineStr">
        <is>
          <t>4</t>
        </is>
      </c>
      <c r="B8" s="5" t="inlineStr">
        <is>
          <t>Credit Quality</t>
        </is>
      </c>
      <c r="C8" s="5" t="inlineStr">
        <is>
          <t>NPL ratios staying manageable as loan book scales; provisioning normalizing</t>
        </is>
      </c>
      <c r="D8" s="5" t="inlineStr">
        <is>
          <t>NPL &gt;90 days</t>
        </is>
      </c>
      <c r="E8" s="6" t="inlineStr">
        <is>
          <t>&lt;8.0%</t>
        </is>
      </c>
      <c r="F8" s="6" t="inlineStr">
        <is>
          <t>~7.0% (2024A)</t>
        </is>
      </c>
      <c r="G8" s="4" t="inlineStr">
        <is>
          <t>On Track</t>
        </is>
      </c>
      <c r="H8" s="4" t="n">
        <v>4</v>
      </c>
      <c r="I8" s="4" t="inlineStr">
        <is>
          <t>2026-02-26</t>
        </is>
      </c>
    </row>
    <row r="9">
      <c r="A9" s="4" t="inlineStr">
        <is>
          <t>5</t>
        </is>
      </c>
      <c r="B9" s="5" t="inlineStr">
        <is>
          <t>Margin Expansion</t>
        </is>
      </c>
      <c r="C9" s="5" t="inlineStr">
        <is>
          <t>Operating leverage on tech/G&amp;A + higher-margin revenue mix drives margin expansion</t>
        </is>
      </c>
      <c r="D9" s="5" t="inlineStr">
        <is>
          <t>EBITDA Margin %</t>
        </is>
      </c>
      <c r="E9" s="6" t="inlineStr">
        <is>
          <t>&gt;16.0% (2025E)</t>
        </is>
      </c>
      <c r="F9" s="6" t="inlineStr">
        <is>
          <t>15.4% (2024A)</t>
        </is>
      </c>
      <c r="G9" s="4" t="inlineStr">
        <is>
          <t>On Track</t>
        </is>
      </c>
      <c r="H9" s="4" t="n">
        <v>4</v>
      </c>
      <c r="I9" s="4" t="inlineStr">
        <is>
          <t>2026-02-26</t>
        </is>
      </c>
    </row>
    <row r="10">
      <c r="A10" s="4" t="inlineStr">
        <is>
          <t>6</t>
        </is>
      </c>
      <c r="B10" s="5" t="inlineStr">
        <is>
          <t>LATAM Digitization</t>
        </is>
      </c>
      <c r="C10" s="5" t="inlineStr">
        <is>
          <t>E-commerce penetration growing from ~16% toward developed market levels (25%+)</t>
        </is>
      </c>
      <c r="D10" s="5" t="inlineStr">
        <is>
          <t>E-comm Penetration %</t>
        </is>
      </c>
      <c r="E10" s="6" t="inlineStr">
        <is>
          <t>&gt;18% (2025E)</t>
        </is>
      </c>
      <c r="F10" s="6" t="inlineStr">
        <is>
          <t>~16% (2024)</t>
        </is>
      </c>
      <c r="G10" s="4" t="inlineStr">
        <is>
          <t>On Track</t>
        </is>
      </c>
      <c r="H10" s="4" t="n">
        <v>5</v>
      </c>
      <c r="I10" s="4" t="inlineStr">
        <is>
          <t>2026-02-26</t>
        </is>
      </c>
    </row>
    <row r="11">
      <c r="A11" s="4" t="inlineStr">
        <is>
          <t>7</t>
        </is>
      </c>
      <c r="B11" s="5" t="inlineStr">
        <is>
          <t>Mexico Growth</t>
        </is>
      </c>
      <c r="C11" s="5" t="inlineStr">
        <is>
          <t>Mexico as second growth engine: nearshoring tailwind, expanding marketplace + fintech share</t>
        </is>
      </c>
      <c r="D11" s="5" t="inlineStr">
        <is>
          <t>Mexico Rev Growth YoY</t>
        </is>
      </c>
      <c r="E11" s="6" t="inlineStr">
        <is>
          <t>&gt;40%</t>
        </is>
      </c>
      <c r="F11" s="6" t="inlineStr">
        <is>
          <t>~45% (2024A)</t>
        </is>
      </c>
      <c r="G11" s="4" t="inlineStr">
        <is>
          <t>On Track</t>
        </is>
      </c>
      <c r="H11" s="4" t="n">
        <v>4</v>
      </c>
      <c r="I11" s="4" t="inlineStr">
        <is>
          <t>2026-02-26</t>
        </is>
      </c>
    </row>
    <row r="12">
      <c r="A12" s="4" t="inlineStr">
        <is>
          <t>8</t>
        </is>
      </c>
      <c r="B12" s="5" t="inlineStr">
        <is>
          <t>Logistics Advantage</t>
        </is>
      </c>
      <c r="C12" s="5" t="inlineStr">
        <is>
          <t>Same/next-day delivery percentage expanding, creating competitive barrier</t>
        </is>
      </c>
      <c r="D12" s="5" t="inlineStr">
        <is>
          <t>Same/Next Day %</t>
        </is>
      </c>
      <c r="E12" s="6" t="inlineStr">
        <is>
          <t>&gt;58% (2025E)</t>
        </is>
      </c>
      <c r="F12" s="6" t="inlineStr">
        <is>
          <t>55% (2024A)</t>
        </is>
      </c>
      <c r="G12" s="4" t="inlineStr">
        <is>
          <t>On Track</t>
        </is>
      </c>
      <c r="H12" s="4" t="n">
        <v>4</v>
      </c>
      <c r="I12" s="4" t="inlineStr">
        <is>
          <t>2026-02-26</t>
        </is>
      </c>
    </row>
    <row r="14">
      <c r="A14" s="7" t="inlineStr">
        <is>
          <t>Overall Conviction Score</t>
        </is>
      </c>
      <c r="H14" s="8">
        <f>AVERAGE(H5:H12)</f>
        <v/>
      </c>
    </row>
    <row r="15">
      <c r="A15" s="9" t="inlineStr">
        <is>
          <t>Pillars On Track</t>
        </is>
      </c>
      <c r="H15" s="10">
        <f>COUNTIF(G5:G12,"On Track")</f>
        <v/>
      </c>
    </row>
    <row r="16">
      <c r="A16" s="9" t="inlineStr">
        <is>
          <t>Pillars At Risk</t>
        </is>
      </c>
      <c r="H16" s="11">
        <f>COUNTIF(G5:G12,"At Risk")</f>
        <v/>
      </c>
    </row>
    <row r="17">
      <c r="A17" s="9" t="inlineStr">
        <is>
          <t>Pillars Broken</t>
        </is>
      </c>
      <c r="H17" s="11">
        <f>COUNTIF(G5:G12,"Broken")</f>
        <v/>
      </c>
    </row>
  </sheetData>
  <conditionalFormatting sqref="G5:G12">
    <cfRule type="cellIs" priority="1" operator="equal" dxfId="0">
      <formula>"On Track"</formula>
    </cfRule>
    <cfRule type="cellIs" priority="2" operator="equal" dxfId="1">
      <formula>"At Risk"</formula>
    </cfRule>
    <cfRule type="cellIs" priority="3" operator="equal" dxfId="2">
      <formula>"Broken"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Thesis Change Log</t>
        </is>
      </c>
    </row>
    <row r="3">
      <c r="A3" s="3" t="inlineStr">
        <is>
          <t>Date</t>
        </is>
      </c>
      <c r="B3" s="3" t="inlineStr">
        <is>
          <t>Trigger / Event</t>
        </is>
      </c>
      <c r="C3" s="3" t="inlineStr">
        <is>
          <t>Pillar Affected</t>
        </is>
      </c>
      <c r="D3" s="3" t="inlineStr">
        <is>
          <t>Old Status</t>
        </is>
      </c>
      <c r="E3" s="3" t="inlineStr">
        <is>
          <t>New Status</t>
        </is>
      </c>
      <c r="F3" s="3" t="inlineStr">
        <is>
          <t>Old Conviction</t>
        </is>
      </c>
      <c r="G3" s="3" t="inlineStr">
        <is>
          <t>New Conviction</t>
        </is>
      </c>
      <c r="H3" s="3" t="inlineStr">
        <is>
          <t>Notes</t>
        </is>
      </c>
    </row>
    <row r="4">
      <c r="A4" s="12" t="inlineStr">
        <is>
          <t>2026-02-26</t>
        </is>
      </c>
      <c r="B4" s="12" t="inlineStr">
        <is>
          <t>Initiation of coverage</t>
        </is>
      </c>
      <c r="C4" s="12" t="inlineStr">
        <is>
          <t>All</t>
        </is>
      </c>
      <c r="D4" s="12" t="inlineStr">
        <is>
          <t>N/A</t>
        </is>
      </c>
      <c r="E4" s="12" t="inlineStr">
        <is>
          <t>On Track</t>
        </is>
      </c>
      <c r="F4" s="12" t="inlineStr">
        <is>
          <t>N/A</t>
        </is>
      </c>
      <c r="G4" s="12" t="inlineStr">
        <is>
          <t>4-5</t>
        </is>
      </c>
      <c r="H4" s="12" t="inlineStr">
        <is>
          <t>All pillars initialized at coverage initiation. Base case conviction.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Rating &amp; Target Price</t>
        </is>
      </c>
    </row>
    <row r="3">
      <c r="A3" s="14" t="inlineStr">
        <is>
          <t>Current Rating</t>
        </is>
      </c>
      <c r="B3" s="15" t="inlineStr">
        <is>
          <t>BUY</t>
        </is>
      </c>
    </row>
    <row r="4">
      <c r="A4" s="14" t="inlineStr">
        <is>
          <t>Target Price</t>
        </is>
      </c>
      <c r="B4" s="12" t="inlineStr">
        <is>
          <t>$2,200</t>
        </is>
      </c>
    </row>
    <row r="5">
      <c r="A5" s="14" t="inlineStr">
        <is>
          <t>Current Price</t>
        </is>
      </c>
      <c r="B5" s="12" t="inlineStr">
        <is>
          <t>$1,774</t>
        </is>
      </c>
    </row>
    <row r="6">
      <c r="A6" s="14" t="inlineStr">
        <is>
          <t>Upside / (Downside)</t>
        </is>
      </c>
      <c r="B6" s="12" t="inlineStr">
        <is>
          <t>+24%</t>
        </is>
      </c>
    </row>
    <row r="7">
      <c r="A7" s="12" t="inlineStr"/>
      <c r="B7" s="12" t="inlineStr"/>
    </row>
    <row r="8">
      <c r="A8" s="14" t="inlineStr">
        <is>
          <t>Conviction Score</t>
        </is>
      </c>
      <c r="B8" s="12">
        <f>Thesis!H14</f>
        <v/>
      </c>
    </row>
    <row r="9">
      <c r="A9" s="14" t="inlineStr">
        <is>
          <t>Pillars On Track</t>
        </is>
      </c>
      <c r="B9" s="12">
        <f>Thesis!H15</f>
        <v/>
      </c>
    </row>
    <row r="10">
      <c r="A10" s="14" t="inlineStr">
        <is>
          <t>Pillars At Risk</t>
        </is>
      </c>
      <c r="B10" s="12">
        <f>Thesis!H16</f>
        <v/>
      </c>
    </row>
    <row r="11">
      <c r="A11" s="14" t="inlineStr">
        <is>
          <t>Pillars Broken</t>
        </is>
      </c>
      <c r="B11" s="12">
        <f>Thesis!H17</f>
        <v/>
      </c>
    </row>
    <row r="12">
      <c r="A12" s="12" t="inlineStr"/>
      <c r="B12" s="12" t="inlineStr"/>
    </row>
    <row r="13">
      <c r="A13" s="14" t="inlineStr">
        <is>
          <t>Last Updated</t>
        </is>
      </c>
      <c r="B13" s="12" t="inlineStr">
        <is>
          <t>2026-02-26</t>
        </is>
      </c>
    </row>
    <row r="14">
      <c r="A14" s="14" t="inlineStr">
        <is>
          <t>Next Review</t>
        </is>
      </c>
      <c r="B14" s="12" t="inlineStr">
        <is>
          <t>Weekly / post-material event</t>
        </is>
      </c>
    </row>
    <row r="15">
      <c r="A15" s="12" t="inlineStr"/>
      <c r="B15" s="12" t="inlineStr"/>
    </row>
    <row r="16">
      <c r="A16" s="16" t="inlineStr">
        <is>
          <t>Rating Change Triggers:</t>
        </is>
      </c>
      <c r="B16" s="12" t="inlineStr"/>
    </row>
    <row r="17">
      <c r="A17" s="16" t="inlineStr">
        <is>
          <t>Downgrade to HOLD if:</t>
        </is>
      </c>
      <c r="B17" s="12" t="inlineStr">
        <is>
          <t>2+ pillars At Risk AND conviction &lt; 3.0</t>
        </is>
      </c>
    </row>
    <row r="18">
      <c r="A18" s="16" t="inlineStr">
        <is>
          <t>Downgrade to SELL if:</t>
        </is>
      </c>
      <c r="B18" s="12" t="inlineStr">
        <is>
          <t>2+ pillars Broken OR conviction &lt; 2.0</t>
        </is>
      </c>
    </row>
    <row r="19">
      <c r="A19" s="16" t="inlineStr">
        <is>
          <t>Upgrade criteria:</t>
        </is>
      </c>
      <c r="B19" s="12" t="inlineStr">
        <is>
          <t>All pillars On Track AND conviction &gt;= 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2026-02-27T00:25:14Z</dcterms:created>
  <dcterms:modified xsi:type="dcterms:W3CDTF">2026-02-27T00:25:14Z</dcterms:modified>
</cp:coreProperties>
</file>