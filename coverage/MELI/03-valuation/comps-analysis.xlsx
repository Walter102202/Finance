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86383c188cc0198/Documentos/Finance/coverage/MELI/03-valuation/"/>
    </mc:Choice>
  </mc:AlternateContent>
  <xr:revisionPtr revIDLastSave="4" documentId="11_8B4E8FE79F1417618CD637153D5252D0E424590E" xr6:coauthVersionLast="47" xr6:coauthVersionMax="47" xr10:uidLastSave="{3F21F2D6-00BA-4EA8-BD20-42B65EE9D740}"/>
  <bookViews>
    <workbookView xWindow="3510" yWindow="-17430" windowWidth="16200" windowHeight="9315" activeTab="1" xr2:uid="{00000000-000D-0000-FFFF-FFFF00000000}"/>
  </bookViews>
  <sheets>
    <sheet name="Company Data" sheetId="1" r:id="rId1"/>
    <sheet name="Trading Multip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C18" i="2"/>
  <c r="G14" i="2"/>
  <c r="J13" i="2"/>
  <c r="I13" i="2"/>
  <c r="G13" i="2"/>
  <c r="G12" i="2"/>
  <c r="J11" i="2"/>
  <c r="I11" i="2"/>
  <c r="H11" i="2"/>
  <c r="G11" i="2"/>
  <c r="J9" i="2"/>
  <c r="I9" i="2"/>
  <c r="H9" i="2"/>
  <c r="B9" i="2"/>
  <c r="A9" i="2"/>
  <c r="J8" i="2"/>
  <c r="I8" i="2"/>
  <c r="H8" i="2"/>
  <c r="B8" i="2"/>
  <c r="A8" i="2"/>
  <c r="J7" i="2"/>
  <c r="I7" i="2"/>
  <c r="H7" i="2"/>
  <c r="F7" i="2"/>
  <c r="B7" i="2"/>
  <c r="A7" i="2"/>
  <c r="J6" i="2"/>
  <c r="I6" i="2"/>
  <c r="H6" i="2"/>
  <c r="B6" i="2"/>
  <c r="A6" i="2"/>
  <c r="J5" i="2"/>
  <c r="J14" i="2" s="1"/>
  <c r="I5" i="2"/>
  <c r="I14" i="2" s="1"/>
  <c r="H5" i="2"/>
  <c r="H14" i="2" s="1"/>
  <c r="B5" i="2"/>
  <c r="A5" i="2"/>
  <c r="J4" i="2"/>
  <c r="J12" i="2" s="1"/>
  <c r="I4" i="2"/>
  <c r="I12" i="2" s="1"/>
  <c r="H4" i="2"/>
  <c r="H13" i="2" s="1"/>
  <c r="B4" i="2"/>
  <c r="A4" i="2"/>
  <c r="F10" i="1"/>
  <c r="I10" i="1" s="1"/>
  <c r="F9" i="1"/>
  <c r="F8" i="2" s="1"/>
  <c r="F8" i="1"/>
  <c r="E7" i="2" s="1"/>
  <c r="F7" i="1"/>
  <c r="I7" i="1" s="1"/>
  <c r="F6" i="1"/>
  <c r="F5" i="2" s="1"/>
  <c r="F5" i="1"/>
  <c r="F4" i="2" s="1"/>
  <c r="C9" i="2" l="1"/>
  <c r="D9" i="2"/>
  <c r="D6" i="2"/>
  <c r="C6" i="2"/>
  <c r="I5" i="1"/>
  <c r="E5" i="2"/>
  <c r="H12" i="2"/>
  <c r="I6" i="1"/>
  <c r="F6" i="2"/>
  <c r="F13" i="2" s="1"/>
  <c r="E8" i="2"/>
  <c r="E6" i="2"/>
  <c r="E4" i="2"/>
  <c r="I8" i="1"/>
  <c r="I9" i="1"/>
  <c r="E9" i="2"/>
  <c r="F9" i="2"/>
  <c r="E13" i="2" l="1"/>
  <c r="E14" i="2"/>
  <c r="E11" i="2"/>
  <c r="B20" i="2" s="1"/>
  <c r="D20" i="2" s="1"/>
  <c r="E20" i="2" s="1"/>
  <c r="E12" i="2"/>
  <c r="D8" i="2"/>
  <c r="C8" i="2"/>
  <c r="D5" i="2"/>
  <c r="C5" i="2"/>
  <c r="F12" i="2"/>
  <c r="D7" i="2"/>
  <c r="C7" i="2"/>
  <c r="D4" i="2"/>
  <c r="C4" i="2"/>
  <c r="F11" i="2"/>
  <c r="F14" i="2"/>
  <c r="C12" i="2" l="1"/>
  <c r="C13" i="2"/>
  <c r="C14" i="2"/>
  <c r="C11" i="2"/>
  <c r="B18" i="2" s="1"/>
  <c r="D18" i="2" s="1"/>
  <c r="E18" i="2" s="1"/>
  <c r="D13" i="2"/>
  <c r="D12" i="2"/>
  <c r="D11" i="2"/>
  <c r="B19" i="2" s="1"/>
  <c r="D19" i="2" s="1"/>
  <c r="E19" i="2" s="1"/>
  <c r="D14" i="2"/>
</calcChain>
</file>

<file path=xl/sharedStrings.xml><?xml version="1.0" encoding="utf-8"?>
<sst xmlns="http://schemas.openxmlformats.org/spreadsheetml/2006/main" count="57" uniqueCount="51">
  <si>
    <t>Comparable Company Analysis — MELI</t>
  </si>
  <si>
    <t>Source: Yahoo Finance, MacroTrends, StockAnalysis, Company Filings (Feb 2026)</t>
  </si>
  <si>
    <t>Company</t>
  </si>
  <si>
    <t>Ticker</t>
  </si>
  <si>
    <t>Exchange</t>
  </si>
  <si>
    <t>Stock Price ($)</t>
  </si>
  <si>
    <t>Shares Out (M)</t>
  </si>
  <si>
    <t>Market Cap ($M)</t>
  </si>
  <si>
    <t>Cash ($M)</t>
  </si>
  <si>
    <t>Total Debt ($M)</t>
  </si>
  <si>
    <t>Enterprise Value ($M)</t>
  </si>
  <si>
    <t>Revenue TTM ($M)</t>
  </si>
  <si>
    <t>EBITDA TTM ($M)</t>
  </si>
  <si>
    <t>Net Income TTM ($M)</t>
  </si>
  <si>
    <t>Book Value ($M)</t>
  </si>
  <si>
    <t>MercadoLibre</t>
  </si>
  <si>
    <t>MELI</t>
  </si>
  <si>
    <t>NASDAQ</t>
  </si>
  <si>
    <t>Nu Holdings</t>
  </si>
  <si>
    <t>NU</t>
  </si>
  <si>
    <t>NYSE</t>
  </si>
  <si>
    <t>Sea Limited</t>
  </si>
  <si>
    <t>SE</t>
  </si>
  <si>
    <t>StoneCo</t>
  </si>
  <si>
    <t>STNE</t>
  </si>
  <si>
    <t>PagSeguro</t>
  </si>
  <si>
    <t>PAGS</t>
  </si>
  <si>
    <t>DLocal</t>
  </si>
  <si>
    <t>DLO</t>
  </si>
  <si>
    <t>Trading Multiples — MELI vs Peers</t>
  </si>
  <si>
    <t>EV/Revenue</t>
  </si>
  <si>
    <t>EV/EBITDA</t>
  </si>
  <si>
    <t>P/E</t>
  </si>
  <si>
    <t>P/Book</t>
  </si>
  <si>
    <t>Revenue Gr. YoY</t>
  </si>
  <si>
    <t>EBITDA Margin</t>
  </si>
  <si>
    <t>Net Margin</t>
  </si>
  <si>
    <t>ROE</t>
  </si>
  <si>
    <t>Median</t>
  </si>
  <si>
    <t>Mean</t>
  </si>
  <si>
    <t>Min</t>
  </si>
  <si>
    <t>Max</t>
  </si>
  <si>
    <t>Implied Valuation for MELI</t>
  </si>
  <si>
    <t>Method</t>
  </si>
  <si>
    <t>Multiple Applied</t>
  </si>
  <si>
    <t>MELI Metric ($M)</t>
  </si>
  <si>
    <t>Implied EV/Equity ($M)</t>
  </si>
  <si>
    <t>Implied Price/Share ($)</t>
  </si>
  <si>
    <t>EV/Revenue (Median)</t>
  </si>
  <si>
    <t>EV/EBITDA (Median)</t>
  </si>
  <si>
    <t>P/E (Median)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</si>
</sst>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#,##0.0"/>
    <numFmt numFmtId="166" formatCode="0.0\x"/>
    <numFmt numFmtId="167" formatCode="0.0%"/>
    <numFmt numFmtId="168" formatCode="\$#,##0"/>
  </numFmts>
  <fonts count="10" x14ac:knownFonts="1">
    <font>
      <sz val="11"/>
      <color theme="1"/>
      <name val="Calibri"/>
      <family val="2"/>
      <scheme val="minor"/>
    </font>
    <font>
      <b/>
      <sz val="14"/>
      <color rgb="FF1B3A5C"/>
      <name val="Arial"/>
      <family val="2"/>
    </font>
    <font>
      <i/>
      <sz val="9"/>
      <color rgb="FF888888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b/>
      <sz val="11"/>
      <color rgb="FF2C5F8A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8F5E9"/>
      </patternFill>
    </fill>
    <fill>
      <patternFill patternType="solid">
        <fgColor rgb="FFF2F6F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/>
    <xf numFmtId="0" fontId="0" fillId="5" borderId="0" xfId="0" applyFill="1"/>
    <xf numFmtId="166" fontId="4" fillId="5" borderId="1" xfId="0" applyNumberFormat="1" applyFont="1" applyFill="1" applyBorder="1"/>
    <xf numFmtId="167" fontId="4" fillId="5" borderId="1" xfId="0" applyNumberFormat="1" applyFont="1" applyFill="1" applyBorder="1"/>
    <xf numFmtId="0" fontId="7" fillId="0" borderId="1" xfId="0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8" fillId="0" borderId="0" xfId="0" applyFont="1"/>
    <xf numFmtId="0" fontId="9" fillId="0" borderId="1" xfId="0" applyFont="1" applyBorder="1"/>
    <xf numFmtId="3" fontId="4" fillId="0" borderId="1" xfId="0" applyNumberFormat="1" applyFont="1" applyBorder="1"/>
    <xf numFmtId="168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M10"/>
  <sheetViews>
    <sheetView topLeftCell="H1" workbookViewId="0"/>
  </sheetViews>
  <sheetFormatPr baseColWidth="10" defaultColWidth="9.06640625" defaultRowHeight="14.25" x14ac:dyDescent="0.45"/>
  <cols>
    <col min="1" max="1" width="18" customWidth="1"/>
    <col min="2" max="3" width="10" customWidth="1"/>
    <col min="4" max="5" width="14" customWidth="1"/>
    <col min="6" max="6" width="16" customWidth="1"/>
    <col min="7" max="7" width="12" customWidth="1"/>
    <col min="8" max="8" width="14" customWidth="1"/>
    <col min="9" max="9" width="18" customWidth="1"/>
    <col min="10" max="12" width="16" customWidth="1"/>
    <col min="13" max="13" width="14" customWidth="1"/>
  </cols>
  <sheetData>
    <row r="1" spans="1:13" ht="17.649999999999999" x14ac:dyDescent="0.5">
      <c r="A1" s="1" t="s">
        <v>0</v>
      </c>
    </row>
    <row r="2" spans="1:13" x14ac:dyDescent="0.45">
      <c r="A2" s="2" t="s">
        <v>1</v>
      </c>
    </row>
    <row r="4" spans="1:13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45">
      <c r="A5" s="4" t="s">
        <v>15</v>
      </c>
      <c r="B5" s="5" t="s">
        <v>16</v>
      </c>
      <c r="C5" s="5" t="s">
        <v>17</v>
      </c>
      <c r="D5" s="6">
        <v>1774</v>
      </c>
      <c r="E5" s="7">
        <v>50.7</v>
      </c>
      <c r="F5" s="8">
        <f t="shared" ref="F5:F10" si="0">D5*E5</f>
        <v>89941.8</v>
      </c>
      <c r="G5" s="9">
        <v>2600</v>
      </c>
      <c r="H5" s="9">
        <v>7200</v>
      </c>
      <c r="I5" s="8">
        <f t="shared" ref="I5:I10" si="1">F5+H5-G5</f>
        <v>94541.8</v>
      </c>
      <c r="J5" s="9">
        <v>20777</v>
      </c>
      <c r="K5" s="9">
        <v>3200</v>
      </c>
      <c r="L5" s="9">
        <v>1911</v>
      </c>
      <c r="M5" s="9">
        <v>5700</v>
      </c>
    </row>
    <row r="6" spans="1:13" x14ac:dyDescent="0.45">
      <c r="A6" s="10" t="s">
        <v>18</v>
      </c>
      <c r="B6" s="11" t="s">
        <v>19</v>
      </c>
      <c r="C6" s="11" t="s">
        <v>20</v>
      </c>
      <c r="D6" s="12">
        <v>16.53</v>
      </c>
      <c r="E6" s="13">
        <v>4800</v>
      </c>
      <c r="F6" s="14">
        <f t="shared" si="0"/>
        <v>79344</v>
      </c>
      <c r="G6" s="15">
        <v>8500</v>
      </c>
      <c r="H6" s="15">
        <v>2100</v>
      </c>
      <c r="I6" s="14">
        <f t="shared" si="1"/>
        <v>72944</v>
      </c>
      <c r="J6" s="15">
        <v>16300</v>
      </c>
      <c r="K6" s="15">
        <v>3500</v>
      </c>
      <c r="L6" s="15">
        <v>2900</v>
      </c>
      <c r="M6" s="15">
        <v>9200</v>
      </c>
    </row>
    <row r="7" spans="1:13" x14ac:dyDescent="0.45">
      <c r="A7" s="16" t="s">
        <v>21</v>
      </c>
      <c r="B7" s="17" t="s">
        <v>22</v>
      </c>
      <c r="C7" s="17" t="s">
        <v>20</v>
      </c>
      <c r="D7" s="18">
        <v>128</v>
      </c>
      <c r="E7" s="19">
        <v>570</v>
      </c>
      <c r="F7" s="20">
        <f t="shared" si="0"/>
        <v>72960</v>
      </c>
      <c r="G7" s="21">
        <v>9200</v>
      </c>
      <c r="H7" s="21">
        <v>4800</v>
      </c>
      <c r="I7" s="20">
        <f t="shared" si="1"/>
        <v>68560</v>
      </c>
      <c r="J7" s="21">
        <v>16800</v>
      </c>
      <c r="K7" s="21">
        <v>2000</v>
      </c>
      <c r="L7" s="21">
        <v>448</v>
      </c>
      <c r="M7" s="21">
        <v>12000</v>
      </c>
    </row>
    <row r="8" spans="1:13" x14ac:dyDescent="0.45">
      <c r="A8" s="10" t="s">
        <v>23</v>
      </c>
      <c r="B8" s="11" t="s">
        <v>24</v>
      </c>
      <c r="C8" s="11" t="s">
        <v>17</v>
      </c>
      <c r="D8" s="12">
        <v>22</v>
      </c>
      <c r="E8" s="13">
        <v>290</v>
      </c>
      <c r="F8" s="14">
        <f t="shared" si="0"/>
        <v>6380</v>
      </c>
      <c r="G8" s="15">
        <v>1800</v>
      </c>
      <c r="H8" s="15">
        <v>800</v>
      </c>
      <c r="I8" s="14">
        <f t="shared" si="1"/>
        <v>5380</v>
      </c>
      <c r="J8" s="15">
        <v>2458</v>
      </c>
      <c r="K8" s="15">
        <v>650</v>
      </c>
      <c r="L8" s="15">
        <v>380</v>
      </c>
      <c r="M8" s="15">
        <v>2800</v>
      </c>
    </row>
    <row r="9" spans="1:13" x14ac:dyDescent="0.45">
      <c r="A9" s="16" t="s">
        <v>25</v>
      </c>
      <c r="B9" s="17" t="s">
        <v>26</v>
      </c>
      <c r="C9" s="17" t="s">
        <v>20</v>
      </c>
      <c r="D9" s="18">
        <v>10.77</v>
      </c>
      <c r="E9" s="19">
        <v>310</v>
      </c>
      <c r="F9" s="20">
        <f t="shared" si="0"/>
        <v>3338.7</v>
      </c>
      <c r="G9" s="21">
        <v>2200</v>
      </c>
      <c r="H9" s="21">
        <v>1500</v>
      </c>
      <c r="I9" s="20">
        <f t="shared" si="1"/>
        <v>2638.7</v>
      </c>
      <c r="J9" s="21">
        <v>4500</v>
      </c>
      <c r="K9" s="21">
        <v>900</v>
      </c>
      <c r="L9" s="21">
        <v>500</v>
      </c>
      <c r="M9" s="21">
        <v>3500</v>
      </c>
    </row>
    <row r="10" spans="1:13" x14ac:dyDescent="0.45">
      <c r="A10" s="10" t="s">
        <v>27</v>
      </c>
      <c r="B10" s="11" t="s">
        <v>28</v>
      </c>
      <c r="C10" s="11" t="s">
        <v>17</v>
      </c>
      <c r="D10" s="12">
        <v>13.5</v>
      </c>
      <c r="E10" s="13">
        <v>295</v>
      </c>
      <c r="F10" s="14">
        <f t="shared" si="0"/>
        <v>3982.5</v>
      </c>
      <c r="G10" s="15">
        <v>450</v>
      </c>
      <c r="H10" s="15">
        <v>50</v>
      </c>
      <c r="I10" s="14">
        <f t="shared" si="1"/>
        <v>3582.5</v>
      </c>
      <c r="J10" s="15">
        <v>746</v>
      </c>
      <c r="K10" s="15">
        <v>189</v>
      </c>
      <c r="L10" s="15">
        <v>133</v>
      </c>
      <c r="M10" s="15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5F8A"/>
  </sheetPr>
  <dimension ref="A1:J20"/>
  <sheetViews>
    <sheetView tabSelected="1" topLeftCell="A13" workbookViewId="0"/>
  </sheetViews>
  <sheetFormatPr baseColWidth="10" defaultColWidth="9.06640625" defaultRowHeight="14.25" x14ac:dyDescent="0.45"/>
  <cols>
    <col min="1" max="1" width="20" customWidth="1"/>
    <col min="2" max="2" width="14.86328125" bestFit="1" customWidth="1"/>
    <col min="3" max="3" width="14.9296875" bestFit="1" customWidth="1"/>
    <col min="4" max="4" width="20.59765625" bestFit="1" customWidth="1"/>
    <col min="5" max="5" width="20.73046875" bestFit="1" customWidth="1"/>
    <col min="6" max="6" width="10" customWidth="1"/>
    <col min="7" max="8" width="14" customWidth="1"/>
    <col min="9" max="9" width="12" customWidth="1"/>
    <col min="10" max="10" width="10" customWidth="1"/>
  </cols>
  <sheetData>
    <row r="1" spans="1:10" ht="17.649999999999999" x14ac:dyDescent="0.5">
      <c r="A1" s="1" t="s">
        <v>29</v>
      </c>
    </row>
    <row r="3" spans="1:10" x14ac:dyDescent="0.45">
      <c r="A3" s="3" t="s">
        <v>2</v>
      </c>
      <c r="B3" s="3" t="s">
        <v>3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</row>
    <row r="4" spans="1:10" x14ac:dyDescent="0.45">
      <c r="A4" s="22" t="str">
        <f>'Company Data'!A5</f>
        <v>MercadoLibre</v>
      </c>
      <c r="B4" s="23" t="str">
        <f>'Company Data'!B5</f>
        <v>MELI</v>
      </c>
      <c r="C4" s="24">
        <f>'Company Data'!I5/'Company Data'!J5</f>
        <v>4.5503104394282143</v>
      </c>
      <c r="D4" s="24">
        <f>'Company Data'!I5/'Company Data'!K5</f>
        <v>29.5443125</v>
      </c>
      <c r="E4" s="24">
        <f>'Company Data'!F5/'Company Data'!L5</f>
        <v>47.06530612244898</v>
      </c>
      <c r="F4" s="24">
        <f>'Company Data'!F5/'Company Data'!M5</f>
        <v>15.779263157894738</v>
      </c>
      <c r="G4" s="25">
        <v>0.375</v>
      </c>
      <c r="H4" s="26">
        <f>'Company Data'!K5/'Company Data'!J5</f>
        <v>0.15401646050921691</v>
      </c>
      <c r="I4" s="26">
        <f>'Company Data'!L5/'Company Data'!J5</f>
        <v>9.1976705010347978E-2</v>
      </c>
      <c r="J4" s="26">
        <f>'Company Data'!L5/'Company Data'!M5</f>
        <v>0.33526315789473682</v>
      </c>
    </row>
    <row r="5" spans="1:10" x14ac:dyDescent="0.45">
      <c r="A5" s="27" t="str">
        <f>'Company Data'!A6</f>
        <v>Nu Holdings</v>
      </c>
      <c r="B5" s="28" t="str">
        <f>'Company Data'!B6</f>
        <v>NU</v>
      </c>
      <c r="C5" s="29">
        <f>'Company Data'!I6/'Company Data'!J6</f>
        <v>4.4750920245398769</v>
      </c>
      <c r="D5" s="29">
        <f>'Company Data'!I6/'Company Data'!K6</f>
        <v>20.841142857142856</v>
      </c>
      <c r="E5" s="29">
        <f>'Company Data'!F6/'Company Data'!L6</f>
        <v>27.36</v>
      </c>
      <c r="F5" s="29">
        <f>'Company Data'!F6/'Company Data'!M6</f>
        <v>8.6243478260869573</v>
      </c>
      <c r="G5" s="30">
        <v>0.45</v>
      </c>
      <c r="H5" s="31">
        <f>'Company Data'!K6/'Company Data'!J6</f>
        <v>0.21472392638036811</v>
      </c>
      <c r="I5" s="31">
        <f>'Company Data'!L6/'Company Data'!J6</f>
        <v>0.17791411042944785</v>
      </c>
      <c r="J5" s="31">
        <f>'Company Data'!L6/'Company Data'!M6</f>
        <v>0.31521739130434784</v>
      </c>
    </row>
    <row r="6" spans="1:10" x14ac:dyDescent="0.45">
      <c r="A6" s="32" t="str">
        <f>'Company Data'!A7</f>
        <v>Sea Limited</v>
      </c>
      <c r="B6" s="33" t="str">
        <f>'Company Data'!B7</f>
        <v>SE</v>
      </c>
      <c r="C6" s="34">
        <f>'Company Data'!I7/'Company Data'!J7</f>
        <v>4.0809523809523807</v>
      </c>
      <c r="D6" s="34">
        <f>'Company Data'!I7/'Company Data'!K7</f>
        <v>34.28</v>
      </c>
      <c r="E6" s="34">
        <f>'Company Data'!F7/'Company Data'!L7</f>
        <v>162.85714285714286</v>
      </c>
      <c r="F6" s="34">
        <f>'Company Data'!F7/'Company Data'!M7</f>
        <v>6.08</v>
      </c>
      <c r="G6" s="35">
        <v>0.28999999999999998</v>
      </c>
      <c r="H6" s="36">
        <f>'Company Data'!K7/'Company Data'!J7</f>
        <v>0.11904761904761904</v>
      </c>
      <c r="I6" s="36">
        <f>'Company Data'!L7/'Company Data'!J7</f>
        <v>2.6666666666666668E-2</v>
      </c>
      <c r="J6" s="36">
        <f>'Company Data'!L7/'Company Data'!M7</f>
        <v>3.7333333333333336E-2</v>
      </c>
    </row>
    <row r="7" spans="1:10" x14ac:dyDescent="0.45">
      <c r="A7" s="27" t="str">
        <f>'Company Data'!A8</f>
        <v>StoneCo</v>
      </c>
      <c r="B7" s="28" t="str">
        <f>'Company Data'!B8</f>
        <v>STNE</v>
      </c>
      <c r="C7" s="29">
        <f>'Company Data'!I8/'Company Data'!J8</f>
        <v>2.1887713588283155</v>
      </c>
      <c r="D7" s="29">
        <f>'Company Data'!I8/'Company Data'!K8</f>
        <v>8.2769230769230777</v>
      </c>
      <c r="E7" s="29">
        <f>'Company Data'!F8/'Company Data'!L8</f>
        <v>16.789473684210527</v>
      </c>
      <c r="F7" s="29">
        <f>'Company Data'!F8/'Company Data'!M8</f>
        <v>2.2785714285714285</v>
      </c>
      <c r="G7" s="30">
        <v>0.1</v>
      </c>
      <c r="H7" s="31">
        <f>'Company Data'!K8/'Company Data'!J8</f>
        <v>0.26444263628966641</v>
      </c>
      <c r="I7" s="31">
        <f>'Company Data'!L8/'Company Data'!J8</f>
        <v>0.15459723352318958</v>
      </c>
      <c r="J7" s="31">
        <f>'Company Data'!L8/'Company Data'!M8</f>
        <v>0.1357142857142857</v>
      </c>
    </row>
    <row r="8" spans="1:10" x14ac:dyDescent="0.45">
      <c r="A8" s="32" t="str">
        <f>'Company Data'!A9</f>
        <v>PagSeguro</v>
      </c>
      <c r="B8" s="33" t="str">
        <f>'Company Data'!B9</f>
        <v>PAGS</v>
      </c>
      <c r="C8" s="34">
        <f>'Company Data'!I9/'Company Data'!J9</f>
        <v>0.58637777777777778</v>
      </c>
      <c r="D8" s="34">
        <f>'Company Data'!I9/'Company Data'!K9</f>
        <v>2.9318888888888885</v>
      </c>
      <c r="E8" s="34">
        <f>'Company Data'!F9/'Company Data'!L9</f>
        <v>6.6773999999999996</v>
      </c>
      <c r="F8" s="34">
        <f>'Company Data'!F9/'Company Data'!M9</f>
        <v>0.95391428571428571</v>
      </c>
      <c r="G8" s="35">
        <v>0.2</v>
      </c>
      <c r="H8" s="36">
        <f>'Company Data'!K9/'Company Data'!J9</f>
        <v>0.2</v>
      </c>
      <c r="I8" s="36">
        <f>'Company Data'!L9/'Company Data'!J9</f>
        <v>0.1111111111111111</v>
      </c>
      <c r="J8" s="36">
        <f>'Company Data'!L9/'Company Data'!M9</f>
        <v>0.14285714285714285</v>
      </c>
    </row>
    <row r="9" spans="1:10" x14ac:dyDescent="0.45">
      <c r="A9" s="27" t="str">
        <f>'Company Data'!A10</f>
        <v>DLocal</v>
      </c>
      <c r="B9" s="28" t="str">
        <f>'Company Data'!B10</f>
        <v>DLO</v>
      </c>
      <c r="C9" s="29">
        <f>'Company Data'!I10/'Company Data'!J10</f>
        <v>4.802278820375335</v>
      </c>
      <c r="D9" s="29">
        <f>'Company Data'!I10/'Company Data'!K10</f>
        <v>18.955026455026456</v>
      </c>
      <c r="E9" s="29">
        <f>'Company Data'!F10/'Company Data'!L10</f>
        <v>29.943609022556391</v>
      </c>
      <c r="F9" s="29">
        <f>'Company Data'!F10/'Company Data'!M10</f>
        <v>6.6375000000000002</v>
      </c>
      <c r="G9" s="30">
        <v>0.15</v>
      </c>
      <c r="H9" s="31">
        <f>'Company Data'!K10/'Company Data'!J10</f>
        <v>0.25335120643431636</v>
      </c>
      <c r="I9" s="31">
        <f>'Company Data'!L10/'Company Data'!J10</f>
        <v>0.17828418230563003</v>
      </c>
      <c r="J9" s="31">
        <f>'Company Data'!L10/'Company Data'!M10</f>
        <v>0.22166666666666668</v>
      </c>
    </row>
    <row r="11" spans="1:10" x14ac:dyDescent="0.45">
      <c r="A11" s="37" t="s">
        <v>38</v>
      </c>
      <c r="B11" s="38"/>
      <c r="C11" s="39">
        <f t="shared" ref="C11:J11" si="0">MEDIAN(C4:C9)</f>
        <v>4.2780222027461292</v>
      </c>
      <c r="D11" s="39">
        <f t="shared" si="0"/>
        <v>19.898084656084656</v>
      </c>
      <c r="E11" s="39">
        <f t="shared" si="0"/>
        <v>28.651804511278193</v>
      </c>
      <c r="F11" s="39">
        <f t="shared" si="0"/>
        <v>6.3587500000000006</v>
      </c>
      <c r="G11" s="40">
        <f t="shared" si="0"/>
        <v>0.245</v>
      </c>
      <c r="H11" s="40">
        <f t="shared" si="0"/>
        <v>0.20736196319018407</v>
      </c>
      <c r="I11" s="40">
        <f t="shared" si="0"/>
        <v>0.13285417231715035</v>
      </c>
      <c r="J11" s="40">
        <f t="shared" si="0"/>
        <v>0.18226190476190476</v>
      </c>
    </row>
    <row r="12" spans="1:10" x14ac:dyDescent="0.45">
      <c r="A12" s="41" t="s">
        <v>39</v>
      </c>
      <c r="C12" s="42">
        <f t="shared" ref="C12:J12" si="1">AVERAGE(C4:C9)</f>
        <v>3.4472971336503164</v>
      </c>
      <c r="D12" s="42">
        <f t="shared" si="1"/>
        <v>19.138215629663549</v>
      </c>
      <c r="E12" s="42">
        <f t="shared" si="1"/>
        <v>48.448821947726458</v>
      </c>
      <c r="F12" s="42">
        <f t="shared" si="1"/>
        <v>6.7255994497112335</v>
      </c>
      <c r="G12" s="43">
        <f t="shared" si="1"/>
        <v>0.26083333333333331</v>
      </c>
      <c r="H12" s="43">
        <f t="shared" si="1"/>
        <v>0.20093030811019783</v>
      </c>
      <c r="I12" s="43">
        <f t="shared" si="1"/>
        <v>0.12342500150773221</v>
      </c>
      <c r="J12" s="43">
        <f t="shared" si="1"/>
        <v>0.19800866296175221</v>
      </c>
    </row>
    <row r="13" spans="1:10" x14ac:dyDescent="0.45">
      <c r="A13" s="41" t="s">
        <v>40</v>
      </c>
      <c r="C13" s="42">
        <f t="shared" ref="C13:J13" si="2">MIN(C4:C9)</f>
        <v>0.58637777777777778</v>
      </c>
      <c r="D13" s="42">
        <f t="shared" si="2"/>
        <v>2.9318888888888885</v>
      </c>
      <c r="E13" s="42">
        <f t="shared" si="2"/>
        <v>6.6773999999999996</v>
      </c>
      <c r="F13" s="42">
        <f t="shared" si="2"/>
        <v>0.95391428571428571</v>
      </c>
      <c r="G13" s="43">
        <f t="shared" si="2"/>
        <v>0.1</v>
      </c>
      <c r="H13" s="43">
        <f t="shared" si="2"/>
        <v>0.11904761904761904</v>
      </c>
      <c r="I13" s="43">
        <f t="shared" si="2"/>
        <v>2.6666666666666668E-2</v>
      </c>
      <c r="J13" s="43">
        <f t="shared" si="2"/>
        <v>3.7333333333333336E-2</v>
      </c>
    </row>
    <row r="14" spans="1:10" x14ac:dyDescent="0.45">
      <c r="A14" s="41" t="s">
        <v>41</v>
      </c>
      <c r="C14" s="42">
        <f t="shared" ref="C14:J14" si="3">MAX(C4:C9)</f>
        <v>4.802278820375335</v>
      </c>
      <c r="D14" s="42">
        <f t="shared" si="3"/>
        <v>34.28</v>
      </c>
      <c r="E14" s="42">
        <f t="shared" si="3"/>
        <v>162.85714285714286</v>
      </c>
      <c r="F14" s="42">
        <f t="shared" si="3"/>
        <v>15.779263157894738</v>
      </c>
      <c r="G14" s="43">
        <f t="shared" si="3"/>
        <v>0.45</v>
      </c>
      <c r="H14" s="43">
        <f t="shared" si="3"/>
        <v>0.26444263628966641</v>
      </c>
      <c r="I14" s="43">
        <f t="shared" si="3"/>
        <v>0.17828418230563003</v>
      </c>
      <c r="J14" s="43">
        <f t="shared" si="3"/>
        <v>0.33526315789473682</v>
      </c>
    </row>
    <row r="16" spans="1:10" x14ac:dyDescent="0.45">
      <c r="A16" s="44" t="s">
        <v>42</v>
      </c>
    </row>
    <row r="17" spans="1:5" x14ac:dyDescent="0.45">
      <c r="A17" s="3" t="s">
        <v>43</v>
      </c>
      <c r="B17" s="3" t="s">
        <v>44</v>
      </c>
      <c r="C17" s="3" t="s">
        <v>45</v>
      </c>
      <c r="D17" s="3" t="s">
        <v>46</v>
      </c>
      <c r="E17" s="3" t="s">
        <v>47</v>
      </c>
    </row>
    <row r="18" spans="1:5" x14ac:dyDescent="0.45">
      <c r="A18" s="45" t="s">
        <v>48</v>
      </c>
      <c r="B18" s="42">
        <f>C11</f>
        <v>4.2780222027461292</v>
      </c>
      <c r="C18" s="46">
        <f>'Company Data'!J5</f>
        <v>20777</v>
      </c>
      <c r="D18" s="46">
        <f>B18*C18</f>
        <v>88884.467306456325</v>
      </c>
      <c r="E18" s="47">
        <f>(D18-'Company Data'!H5+'Company Data'!G5)/'Company Data'!E5</f>
        <v>1662.4155287269491</v>
      </c>
    </row>
    <row r="19" spans="1:5" x14ac:dyDescent="0.45">
      <c r="A19" s="45" t="s">
        <v>49</v>
      </c>
      <c r="B19" s="42">
        <f>D11</f>
        <v>19.898084656084656</v>
      </c>
      <c r="C19" s="46">
        <f>'Company Data'!K5</f>
        <v>3200</v>
      </c>
      <c r="D19" s="46">
        <f>B19*C19</f>
        <v>63673.870899470901</v>
      </c>
      <c r="E19" s="47">
        <f>(D19-'Company Data'!H5+'Company Data'!G5)/'Company Data'!E5</f>
        <v>1165.1651064984399</v>
      </c>
    </row>
    <row r="20" spans="1:5" x14ac:dyDescent="0.45">
      <c r="A20" s="45" t="s">
        <v>50</v>
      </c>
      <c r="B20" s="42">
        <f>E11</f>
        <v>28.651804511278193</v>
      </c>
      <c r="C20" s="46">
        <f>'Company Data'!L5</f>
        <v>1911</v>
      </c>
      <c r="D20" s="46">
        <f>B20*C20</f>
        <v>54753.598421052629</v>
      </c>
      <c r="E20" s="47">
        <f>D20/'Company Data'!E5</f>
        <v>1079.9526315789474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Company Data</vt:lpstr>
      <vt:lpstr>Trading Multiples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Guzmán</cp:lastModifiedBy>
  <dcterms:created xsi:type="dcterms:W3CDTF">2026-02-27T00:09:11Z</dcterms:created>
  <dcterms:modified xsi:type="dcterms:W3CDTF">2026-02-27T00:12:57Z</dcterms:modified>
</cp:coreProperties>
</file>