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.00"/>
    <numFmt numFmtId="167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B3A5C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3D5A80"/>
      </patternFill>
    </fill>
    <fill>
      <patternFill patternType="solid">
        <fgColor rgb="00E07A2F"/>
      </patternFill>
    </fill>
    <fill>
      <patternFill patternType="solid">
        <fgColor rgb="00FFFF00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164" fontId="4" fillId="5" borderId="0" pivotButton="0" quotePrefix="0" xfId="0"/>
    <xf numFmtId="0" fontId="5" fillId="0" borderId="0" pivotButton="0" quotePrefix="0" xfId="0"/>
    <xf numFmtId="1" fontId="4" fillId="0" borderId="0" pivotButton="0" quotePrefix="0" xfId="0"/>
    <xf numFmtId="1" fontId="4" fillId="5" borderId="0" pivotButton="0" quotePrefix="0" xfId="0"/>
    <xf numFmtId="165" fontId="4" fillId="0" borderId="0" pivotButton="0" quotePrefix="0" xfId="0"/>
    <xf numFmtId="165" fontId="4" fillId="5" borderId="0" pivotButton="0" quotePrefix="0" xfId="0"/>
    <xf numFmtId="0" fontId="6" fillId="0" borderId="0" pivotButton="0" quotePrefix="0" xfId="0"/>
    <xf numFmtId="167" fontId="4" fillId="0" borderId="0" pivotButton="0" quotePrefix="0" xfId="0"/>
    <xf numFmtId="167" fontId="0" fillId="6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6" fillId="0" borderId="2" pivotButton="0" quotePrefix="0" xfId="0"/>
    <xf numFmtId="167" fontId="6" fillId="0" borderId="2" pivotButton="0" quotePrefix="0" xfId="0"/>
    <xf numFmtId="167" fontId="6" fillId="6" borderId="2" pivotButton="0" quotePrefix="0" xfId="0"/>
    <xf numFmtId="0" fontId="0" fillId="6" borderId="0" pivotButton="0" quotePrefix="0" xfId="0"/>
    <xf numFmtId="0" fontId="6" fillId="0" borderId="1" pivotButton="0" quotePrefix="0" xfId="0"/>
    <xf numFmtId="167" fontId="6" fillId="0" borderId="1" pivotButton="0" quotePrefix="0" xfId="0"/>
    <xf numFmtId="167" fontId="6" fillId="6" borderId="1" pivotButton="0" quotePrefix="0" xfId="0"/>
    <xf numFmtId="167" fontId="7" fillId="6" borderId="0" pivotButton="0" quotePrefix="0" xfId="0"/>
    <xf numFmtId="0" fontId="7" fillId="0" borderId="0" pivotButton="0" quotePrefix="0" xfId="0"/>
    <xf numFmtId="167" fontId="4" fillId="6" borderId="0" pivotButton="0" quotePrefix="0" xfId="0"/>
    <xf numFmtId="0" fontId="4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7" fontId="7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Key Assumptions � MELI (MercadoLibre) [UPDATED POST Q4-2025]</t>
        </is>
      </c>
    </row>
    <row r="3">
      <c r="A3" s="2" t="inlineStr"/>
      <c r="B3" s="3" t="inlineStr">
        <is>
          <t>2022A</t>
        </is>
      </c>
      <c r="C3" s="3" t="inlineStr">
        <is>
          <t>2023A</t>
        </is>
      </c>
      <c r="D3" s="3" t="inlineStr">
        <is>
          <t>2024A</t>
        </is>
      </c>
      <c r="E3" s="3" t="inlineStr">
        <is>
          <t>2025A</t>
        </is>
      </c>
      <c r="F3" s="4" t="inlineStr">
        <is>
          <t>2026E</t>
        </is>
      </c>
      <c r="G3" s="4" t="inlineStr">
        <is>
          <t>2027E</t>
        </is>
      </c>
      <c r="H3" s="4" t="inlineStr">
        <is>
          <t>2028E</t>
        </is>
      </c>
      <c r="I3" s="2" t="inlineStr">
        <is>
          <t>2029E</t>
        </is>
      </c>
    </row>
    <row r="4">
      <c r="A4" s="5" t="inlineStr">
        <is>
          <t>Revenue Growth %</t>
        </is>
      </c>
      <c r="B4" s="6" t="n">
        <v>0.397</v>
      </c>
      <c r="C4" s="6" t="n">
        <v>0.374</v>
      </c>
      <c r="D4" s="6" t="n">
        <v>0.436</v>
      </c>
      <c r="E4" s="6" t="n">
        <v>0.39</v>
      </c>
      <c r="F4" s="7" t="n">
        <v>0.25</v>
      </c>
      <c r="G4" s="7" t="n">
        <v>0.2</v>
      </c>
      <c r="H4" s="7" t="n">
        <v>0.18</v>
      </c>
      <c r="I4" s="7" t="n">
        <v>0.15</v>
      </c>
    </row>
    <row r="5">
      <c r="A5" s="5" t="inlineStr">
        <is>
          <t>COGS % of Revenue</t>
        </is>
      </c>
      <c r="B5" s="6" t="n">
        <v>0.522</v>
      </c>
      <c r="C5" s="6" t="n">
        <v>0.518</v>
      </c>
      <c r="D5" s="6" t="n">
        <v>0.539</v>
      </c>
      <c r="E5" s="6" t="n">
        <v>0.546</v>
      </c>
      <c r="F5" s="7" t="n">
        <v>0.54</v>
      </c>
      <c r="G5" s="7" t="n">
        <v>0.531</v>
      </c>
      <c r="H5" s="7" t="n">
        <v>0.52</v>
      </c>
      <c r="I5" s="7" t="n">
        <v>0.515</v>
      </c>
    </row>
    <row r="6">
      <c r="A6" s="5" t="inlineStr">
        <is>
          <t>S&amp;M % of Revenue</t>
        </is>
      </c>
      <c r="B6" s="6" t="n">
        <v>0.12</v>
      </c>
      <c r="C6" s="6" t="n">
        <v>0.115</v>
      </c>
      <c r="D6" s="6" t="n">
        <v>0.11</v>
      </c>
      <c r="E6" s="6" t="n">
        <v>0.112</v>
      </c>
      <c r="F6" s="7" t="n">
        <v>0.108</v>
      </c>
      <c r="G6" s="7" t="n">
        <v>0.1</v>
      </c>
      <c r="H6" s="7" t="n">
        <v>0.095</v>
      </c>
      <c r="I6" s="7" t="n">
        <v>0.09</v>
      </c>
    </row>
    <row r="7">
      <c r="A7" s="5" t="inlineStr">
        <is>
          <t>Tech &amp; Product Dev % Rev</t>
        </is>
      </c>
      <c r="B7" s="6" t="n">
        <v>0.095</v>
      </c>
      <c r="C7" s="6" t="n">
        <v>0.09</v>
      </c>
      <c r="D7" s="6" t="n">
        <v>0.08799999999999999</v>
      </c>
      <c r="E7" s="6" t="n">
        <v>0.092</v>
      </c>
      <c r="F7" s="7" t="n">
        <v>0.08799999999999999</v>
      </c>
      <c r="G7" s="7" t="n">
        <v>0.08500000000000001</v>
      </c>
      <c r="H7" s="7" t="n">
        <v>0.082</v>
      </c>
      <c r="I7" s="7" t="n">
        <v>0.08</v>
      </c>
    </row>
    <row r="8">
      <c r="A8" s="5" t="inlineStr">
        <is>
          <t>G&amp;A % of Revenue</t>
        </is>
      </c>
      <c r="B8" s="6" t="n">
        <v>0.06</v>
      </c>
      <c r="C8" s="6" t="n">
        <v>0.055</v>
      </c>
      <c r="D8" s="6" t="n">
        <v>0.052</v>
      </c>
      <c r="E8" s="6" t="n">
        <v>0.053</v>
      </c>
      <c r="F8" s="7" t="n">
        <v>0.05</v>
      </c>
      <c r="G8" s="7" t="n">
        <v>0.048</v>
      </c>
      <c r="H8" s="7" t="n">
        <v>0.046</v>
      </c>
      <c r="I8" s="7" t="n">
        <v>0.044</v>
      </c>
    </row>
    <row r="9">
      <c r="A9" s="5" t="inlineStr">
        <is>
          <t>Provision for Doubtful % Rev</t>
        </is>
      </c>
      <c r="B9" s="6" t="n">
        <v>0.045</v>
      </c>
      <c r="C9" s="6" t="n">
        <v>0.042</v>
      </c>
      <c r="D9" s="6" t="n">
        <v>0.04</v>
      </c>
      <c r="E9" s="6" t="n">
        <v>0.042</v>
      </c>
      <c r="F9" s="7" t="n">
        <v>0.038</v>
      </c>
      <c r="G9" s="7" t="n">
        <v>0.035</v>
      </c>
      <c r="H9" s="7" t="n">
        <v>0.032</v>
      </c>
      <c r="I9" s="7" t="n">
        <v>0.03</v>
      </c>
    </row>
    <row r="10">
      <c r="A10" s="5" t="inlineStr">
        <is>
          <t>D&amp;A % of Revenue</t>
        </is>
      </c>
      <c r="B10" s="6" t="n">
        <v>0.03</v>
      </c>
      <c r="C10" s="6" t="n">
        <v>0.03</v>
      </c>
      <c r="D10" s="6" t="n">
        <v>0.028</v>
      </c>
      <c r="E10" s="6" t="n">
        <v>0.028</v>
      </c>
      <c r="F10" s="7" t="n">
        <v>0.028</v>
      </c>
      <c r="G10" s="7" t="n">
        <v>0.028</v>
      </c>
      <c r="H10" s="7" t="n">
        <v>0.028</v>
      </c>
      <c r="I10" s="7" t="n">
        <v>0.028</v>
      </c>
    </row>
    <row r="11">
      <c r="A11" s="5" t="inlineStr">
        <is>
          <t>Tax Rate</t>
        </is>
      </c>
      <c r="B11" s="6" t="n">
        <v>0.3</v>
      </c>
      <c r="C11" s="6" t="n">
        <v>0.28</v>
      </c>
      <c r="D11" s="6" t="n">
        <v>0.27</v>
      </c>
      <c r="E11" s="6" t="n">
        <v>0.285</v>
      </c>
      <c r="F11" s="7" t="n">
        <v>0.275</v>
      </c>
      <c r="G11" s="7" t="n">
        <v>0.27</v>
      </c>
      <c r="H11" s="7" t="n">
        <v>0.27</v>
      </c>
      <c r="I11" s="7" t="n">
        <v>0.27</v>
      </c>
    </row>
    <row r="12">
      <c r="A12" s="8" t="inlineStr"/>
    </row>
    <row r="13">
      <c r="A13" s="5" t="inlineStr">
        <is>
          <t>Capex % of Revenue</t>
        </is>
      </c>
      <c r="B13" s="6" t="n">
        <v>0.048</v>
      </c>
      <c r="C13" s="6" t="n">
        <v>0.059</v>
      </c>
      <c r="D13" s="6" t="n">
        <v>0.059</v>
      </c>
      <c r="E13" s="6" t="n">
        <v>0.043</v>
      </c>
      <c r="F13" s="7" t="n">
        <v>0.039</v>
      </c>
      <c r="G13" s="7" t="n">
        <v>0.036</v>
      </c>
      <c r="H13" s="7" t="n">
        <v>0.033</v>
      </c>
      <c r="I13" s="7" t="n">
        <v>0.031</v>
      </c>
    </row>
    <row r="14">
      <c r="A14" s="5" t="inlineStr">
        <is>
          <t>AR Days</t>
        </is>
      </c>
      <c r="B14" s="9" t="n">
        <v>45</v>
      </c>
      <c r="C14" s="9" t="n">
        <v>42</v>
      </c>
      <c r="D14" s="9" t="n">
        <v>40</v>
      </c>
      <c r="E14" s="9" t="n">
        <v>38</v>
      </c>
      <c r="F14" s="10" t="n">
        <v>37</v>
      </c>
      <c r="G14" s="10" t="n">
        <v>36</v>
      </c>
      <c r="H14" s="10" t="n">
        <v>35</v>
      </c>
      <c r="I14" s="10" t="n">
        <v>34</v>
      </c>
    </row>
    <row r="15">
      <c r="A15" s="5" t="inlineStr">
        <is>
          <t>Inventory Days</t>
        </is>
      </c>
      <c r="B15" s="9" t="n">
        <v>15</v>
      </c>
      <c r="C15" s="9" t="n">
        <v>14</v>
      </c>
      <c r="D15" s="9" t="n">
        <v>13</v>
      </c>
      <c r="E15" s="9" t="n">
        <v>12</v>
      </c>
      <c r="F15" s="10" t="n">
        <v>12</v>
      </c>
      <c r="G15" s="10" t="n">
        <v>12</v>
      </c>
      <c r="H15" s="10" t="n">
        <v>11</v>
      </c>
      <c r="I15" s="10" t="n">
        <v>11</v>
      </c>
    </row>
    <row r="16">
      <c r="A16" s="5" t="inlineStr">
        <is>
          <t>AP Days</t>
        </is>
      </c>
      <c r="B16" s="9" t="n">
        <v>60</v>
      </c>
      <c r="C16" s="9" t="n">
        <v>58</v>
      </c>
      <c r="D16" s="9" t="n">
        <v>55</v>
      </c>
      <c r="E16" s="9" t="n">
        <v>53</v>
      </c>
      <c r="F16" s="10" t="n">
        <v>52</v>
      </c>
      <c r="G16" s="10" t="n">
        <v>51</v>
      </c>
      <c r="H16" s="10" t="n">
        <v>50</v>
      </c>
      <c r="I16" s="10" t="n">
        <v>49</v>
      </c>
    </row>
    <row r="17">
      <c r="A17" s="5" t="inlineStr">
        <is>
          <t>Accrued Liabilities % Rev</t>
        </is>
      </c>
      <c r="B17" s="6" t="n">
        <v>0.08</v>
      </c>
      <c r="C17" s="6" t="n">
        <v>0.08</v>
      </c>
      <c r="D17" s="6" t="n">
        <v>0.075</v>
      </c>
      <c r="E17" s="6" t="n">
        <v>0.073</v>
      </c>
      <c r="F17" s="7" t="n">
        <v>0.07000000000000001</v>
      </c>
      <c r="G17" s="7" t="n">
        <v>0.068</v>
      </c>
      <c r="H17" s="7" t="n">
        <v>0.065</v>
      </c>
      <c r="I17" s="7" t="n">
        <v>0.063</v>
      </c>
    </row>
    <row r="18">
      <c r="A18" s="8" t="inlineStr"/>
    </row>
    <row r="19">
      <c r="A19" s="5" t="inlineStr">
        <is>
          <t>Interest Rate on Debt</t>
        </is>
      </c>
      <c r="B19" s="6" t="n">
        <v>0.045</v>
      </c>
      <c r="C19" s="6" t="n">
        <v>0.055</v>
      </c>
      <c r="D19" s="6" t="n">
        <v>0.06</v>
      </c>
      <c r="E19" s="6" t="n">
        <v>0.058</v>
      </c>
      <c r="F19" s="7" t="n">
        <v>0.058</v>
      </c>
      <c r="G19" s="7" t="n">
        <v>0.056</v>
      </c>
      <c r="H19" s="7" t="n">
        <v>0.054</v>
      </c>
      <c r="I19" s="7" t="n">
        <v>0.052</v>
      </c>
    </row>
    <row r="20">
      <c r="A20" s="5" t="inlineStr">
        <is>
          <t>Shares Outstanding (M)</t>
        </is>
      </c>
      <c r="B20" s="11" t="n">
        <v>50.2</v>
      </c>
      <c r="C20" s="11" t="n">
        <v>50.4</v>
      </c>
      <c r="D20" s="11" t="n">
        <v>50.7</v>
      </c>
      <c r="E20" s="11" t="n">
        <v>51</v>
      </c>
      <c r="F20" s="12" t="n">
        <v>51</v>
      </c>
      <c r="G20" s="12" t="n">
        <v>51</v>
      </c>
      <c r="H20" s="12" t="n">
        <v>51</v>
      </c>
      <c r="I20" s="1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Income Statement � MELI ($M) [UPDATED POST Q4-2025]</t>
        </is>
      </c>
    </row>
    <row r="3">
      <c r="A3" s="2" t="inlineStr"/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2025A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</row>
    <row r="4">
      <c r="A4" s="13" t="inlineStr">
        <is>
          <t>Revenue</t>
        </is>
      </c>
      <c r="B4" s="14" t="n">
        <v>10537</v>
      </c>
      <c r="C4" s="14" t="n">
        <v>14473</v>
      </c>
      <c r="D4" s="14" t="n">
        <v>20777</v>
      </c>
      <c r="E4" s="14" t="n">
        <v>28900</v>
      </c>
      <c r="F4" s="15">
        <f>E4*(1+Assumptions!F4)</f>
        <v/>
      </c>
      <c r="G4" s="15">
        <f>F4*(1+Assumptions!G4)</f>
        <v/>
      </c>
      <c r="H4" s="15">
        <f>G4*(1+Assumptions!H4)</f>
        <v/>
      </c>
      <c r="I4">
        <f>H4*(1+Assumptions!I4)</f>
        <v/>
      </c>
    </row>
    <row r="5">
      <c r="A5" s="8" t="inlineStr">
        <is>
          <t>YoY Growth %</t>
        </is>
      </c>
      <c r="B5" s="16" t="n">
        <v>0.397</v>
      </c>
      <c r="C5" s="16">
        <f>(C4-B4)/B4</f>
        <v/>
      </c>
      <c r="D5" s="16">
        <f>(D4-C4)/C4</f>
        <v/>
      </c>
      <c r="E5" s="16">
        <f>(E4-D4)/D4</f>
        <v/>
      </c>
      <c r="F5" s="17">
        <f>Assumptions!F4</f>
        <v/>
      </c>
      <c r="G5" s="17">
        <f>Assumptions!G4</f>
        <v/>
      </c>
      <c r="H5" s="17">
        <f>Assumptions!H4</f>
        <v/>
      </c>
      <c r="I5" s="16">
        <f>Assumptions!I4</f>
        <v/>
      </c>
    </row>
    <row r="6">
      <c r="A6" s="8" t="inlineStr">
        <is>
          <t>(-) Cost of Revenue</t>
        </is>
      </c>
      <c r="B6" s="14" t="n">
        <v>5500</v>
      </c>
      <c r="C6" s="14" t="n">
        <v>7500</v>
      </c>
      <c r="D6" s="14" t="n">
        <v>11200</v>
      </c>
      <c r="E6" s="14" t="n">
        <v>15780</v>
      </c>
      <c r="F6" s="15">
        <f>F4*Assumptions!F5</f>
        <v/>
      </c>
      <c r="G6" s="15">
        <f>G4*Assumptions!G5</f>
        <v/>
      </c>
      <c r="H6" s="15">
        <f>H4*Assumptions!H5</f>
        <v/>
      </c>
      <c r="I6">
        <f>I4*Assumptions!I5</f>
        <v/>
      </c>
    </row>
    <row r="7">
      <c r="A7" s="18" t="inlineStr">
        <is>
          <t>Gross Profit</t>
        </is>
      </c>
      <c r="B7" s="19">
        <f>B4-B6</f>
        <v/>
      </c>
      <c r="C7" s="19">
        <f>C4-C6</f>
        <v/>
      </c>
      <c r="D7" s="19">
        <f>D4-D6</f>
        <v/>
      </c>
      <c r="E7" s="19">
        <f>E4-E6</f>
        <v/>
      </c>
      <c r="F7" s="20">
        <f>F4-F6</f>
        <v/>
      </c>
      <c r="G7" s="20">
        <f>G4-G6</f>
        <v/>
      </c>
      <c r="H7" s="20">
        <f>H4-H6</f>
        <v/>
      </c>
      <c r="I7">
        <f>I4-I6</f>
        <v/>
      </c>
    </row>
    <row r="8">
      <c r="A8" s="8" t="inlineStr">
        <is>
          <t>Gross Margin %</t>
        </is>
      </c>
      <c r="B8" s="16">
        <f>B7/B4</f>
        <v/>
      </c>
      <c r="C8" s="16">
        <f>C7/C4</f>
        <v/>
      </c>
      <c r="D8" s="16">
        <f>D7/D4</f>
        <v/>
      </c>
      <c r="E8" s="16">
        <f>E7/E4</f>
        <v/>
      </c>
      <c r="F8" s="17">
        <f>F7/F4</f>
        <v/>
      </c>
      <c r="G8" s="17">
        <f>G7/G4</f>
        <v/>
      </c>
      <c r="H8" s="17">
        <f>H7/H4</f>
        <v/>
      </c>
      <c r="I8" s="16">
        <f>I7/I4</f>
        <v/>
      </c>
    </row>
    <row r="9">
      <c r="A9" s="8" t="inlineStr"/>
      <c r="F9" s="21" t="n"/>
      <c r="G9" s="21" t="n"/>
      <c r="H9" s="21" t="n"/>
    </row>
    <row r="10">
      <c r="A10" s="8" t="inlineStr">
        <is>
          <t>(-) Sales &amp; Marketing</t>
        </is>
      </c>
      <c r="B10" s="14" t="n">
        <v>1264</v>
      </c>
      <c r="C10" s="14" t="n">
        <v>1664</v>
      </c>
      <c r="D10" s="14" t="n">
        <v>2286</v>
      </c>
      <c r="E10" s="14" t="n">
        <v>3237</v>
      </c>
      <c r="F10" s="15">
        <f>F4*Assumptions!F6</f>
        <v/>
      </c>
      <c r="G10" s="15">
        <f>G4*Assumptions!G6</f>
        <v/>
      </c>
      <c r="H10" s="15">
        <f>H4*Assumptions!H6</f>
        <v/>
      </c>
      <c r="I10">
        <f>I4*Assumptions!I6</f>
        <v/>
      </c>
    </row>
    <row r="11">
      <c r="A11" s="8" t="inlineStr">
        <is>
          <t>(-) Technology &amp; Product Dev</t>
        </is>
      </c>
      <c r="B11" s="14" t="n">
        <v>1001</v>
      </c>
      <c r="C11" s="14" t="n">
        <v>1302</v>
      </c>
      <c r="D11" s="14" t="n">
        <v>1828</v>
      </c>
      <c r="E11" s="14" t="n">
        <v>2659</v>
      </c>
      <c r="F11" s="15">
        <f>F4*Assumptions!F7</f>
        <v/>
      </c>
      <c r="G11" s="15">
        <f>G4*Assumptions!G7</f>
        <v/>
      </c>
      <c r="H11" s="15">
        <f>H4*Assumptions!H7</f>
        <v/>
      </c>
      <c r="I11">
        <f>I4*Assumptions!I7</f>
        <v/>
      </c>
    </row>
    <row r="12">
      <c r="A12" s="8" t="inlineStr">
        <is>
          <t>(-) General &amp; Administrative</t>
        </is>
      </c>
      <c r="B12" s="14" t="n">
        <v>632</v>
      </c>
      <c r="C12" s="14" t="n">
        <v>796</v>
      </c>
      <c r="D12" s="14" t="n">
        <v>1080</v>
      </c>
      <c r="E12" s="14" t="n">
        <v>1532</v>
      </c>
      <c r="F12" s="15">
        <f>F4*Assumptions!F8</f>
        <v/>
      </c>
      <c r="G12" s="15">
        <f>G4*Assumptions!G8</f>
        <v/>
      </c>
      <c r="H12" s="15">
        <f>H4*Assumptions!H8</f>
        <v/>
      </c>
      <c r="I12">
        <f>I4*Assumptions!I8</f>
        <v/>
      </c>
    </row>
    <row r="13">
      <c r="A13" s="8" t="inlineStr">
        <is>
          <t>(-) Provision for Doubtful Accts</t>
        </is>
      </c>
      <c r="B13" s="14" t="n">
        <v>474</v>
      </c>
      <c r="C13" s="14" t="n">
        <v>608</v>
      </c>
      <c r="D13" s="14" t="n">
        <v>831</v>
      </c>
      <c r="E13" s="14" t="n">
        <v>1214</v>
      </c>
      <c r="F13" s="15">
        <f>F4*Assumptions!F9</f>
        <v/>
      </c>
      <c r="G13" s="15">
        <f>G4*Assumptions!G9</f>
        <v/>
      </c>
      <c r="H13" s="15">
        <f>H4*Assumptions!H9</f>
        <v/>
      </c>
      <c r="I13">
        <f>I4*Assumptions!I9</f>
        <v/>
      </c>
    </row>
    <row r="14">
      <c r="A14" s="22" t="inlineStr">
        <is>
          <t>Total Operating Expenses</t>
        </is>
      </c>
      <c r="B14" s="23">
        <f>B10+B11+B12+B13</f>
        <v/>
      </c>
      <c r="C14" s="23">
        <f>C10+C11+C12+C13</f>
        <v/>
      </c>
      <c r="D14" s="23">
        <f>D10+D11+D12+D13</f>
        <v/>
      </c>
      <c r="E14" s="23">
        <f>E10+E11+E12+E13</f>
        <v/>
      </c>
      <c r="F14" s="24">
        <f>F10+F11+F12+F13</f>
        <v/>
      </c>
      <c r="G14" s="24">
        <f>G10+G11+G12+G13</f>
        <v/>
      </c>
      <c r="H14" s="24">
        <f>H10+H11+H12+H13</f>
        <v/>
      </c>
      <c r="I14">
        <f>I10+I11+I12+I13</f>
        <v/>
      </c>
    </row>
    <row r="15">
      <c r="A15" s="8" t="inlineStr"/>
      <c r="F15" s="21" t="n"/>
      <c r="G15" s="21" t="n"/>
      <c r="H15" s="21" t="n"/>
    </row>
    <row r="16">
      <c r="A16" s="18" t="inlineStr">
        <is>
          <t>Operating Income (EBIT)</t>
        </is>
      </c>
      <c r="B16" s="19">
        <f>B7-B14</f>
        <v/>
      </c>
      <c r="C16" s="19">
        <f>C7-C14</f>
        <v/>
      </c>
      <c r="D16" s="19">
        <f>D7-D14</f>
        <v/>
      </c>
      <c r="E16" s="19">
        <f>E7-E14</f>
        <v/>
      </c>
      <c r="F16" s="20">
        <f>F7-F14</f>
        <v/>
      </c>
      <c r="G16" s="20">
        <f>G7-G14</f>
        <v/>
      </c>
      <c r="H16" s="20">
        <f>H7-H14</f>
        <v/>
      </c>
      <c r="I16">
        <f>I7-I14</f>
        <v/>
      </c>
    </row>
    <row r="17">
      <c r="A17" s="8" t="inlineStr">
        <is>
          <t>Operating Margin %</t>
        </is>
      </c>
      <c r="B17" s="16">
        <f>B16/B4</f>
        <v/>
      </c>
      <c r="C17" s="16">
        <f>C16/C4</f>
        <v/>
      </c>
      <c r="D17" s="16">
        <f>D16/D4</f>
        <v/>
      </c>
      <c r="E17" s="16">
        <f>E16/E4</f>
        <v/>
      </c>
      <c r="F17" s="17">
        <f>F16/F4</f>
        <v/>
      </c>
      <c r="G17" s="17">
        <f>G16/G4</f>
        <v/>
      </c>
      <c r="H17" s="17">
        <f>H16/H4</f>
        <v/>
      </c>
      <c r="I17" s="16">
        <f>I16/I4</f>
        <v/>
      </c>
    </row>
    <row r="18">
      <c r="A18" s="8" t="inlineStr"/>
      <c r="F18" s="21" t="n"/>
      <c r="G18" s="21" t="n"/>
      <c r="H18" s="21" t="n"/>
    </row>
    <row r="19">
      <c r="A19" s="8" t="inlineStr">
        <is>
          <t>(-) Interest Expense</t>
        </is>
      </c>
      <c r="B19" s="14" t="n">
        <v>58</v>
      </c>
      <c r="C19" s="14" t="n">
        <v>247</v>
      </c>
      <c r="D19" s="14" t="n">
        <v>608</v>
      </c>
      <c r="E19" s="14" t="n">
        <v>780</v>
      </c>
      <c r="F19" s="25">
        <f>'Balance Sheet'!F14*Assumptions!F19</f>
        <v/>
      </c>
      <c r="G19" s="25">
        <f>'Balance Sheet'!G14*Assumptions!G19</f>
        <v/>
      </c>
      <c r="H19" s="25">
        <f>'Balance Sheet'!H14*Assumptions!H19</f>
        <v/>
      </c>
      <c r="I19" s="26">
        <f>'Balance Sheet'!I14*Assumptions!I19</f>
        <v/>
      </c>
    </row>
    <row r="20">
      <c r="A20" s="8" t="inlineStr">
        <is>
          <t>(+) Other Income / (Expense)</t>
        </is>
      </c>
      <c r="B20" s="14" t="n">
        <v>120</v>
      </c>
      <c r="C20" s="14" t="n">
        <v>180</v>
      </c>
      <c r="D20" s="14" t="n">
        <v>250</v>
      </c>
      <c r="E20" s="14" t="n">
        <v>320</v>
      </c>
      <c r="F20" s="27" t="n">
        <v>250</v>
      </c>
      <c r="G20" s="27" t="n">
        <v>250</v>
      </c>
      <c r="H20" s="27" t="n">
        <v>250</v>
      </c>
      <c r="I20" s="28" t="n">
        <v>250</v>
      </c>
    </row>
    <row r="21">
      <c r="A21" s="22" t="inlineStr">
        <is>
          <t>Pre-Tax Income</t>
        </is>
      </c>
      <c r="B21" s="23">
        <f>B16-B19+B20</f>
        <v/>
      </c>
      <c r="C21" s="23">
        <f>C16-C19+C20</f>
        <v/>
      </c>
      <c r="D21" s="23">
        <f>D16-D19+D20</f>
        <v/>
      </c>
      <c r="E21" s="23">
        <f>E16-E19+E20</f>
        <v/>
      </c>
      <c r="F21" s="24">
        <f>F16-F19+F20</f>
        <v/>
      </c>
      <c r="G21" s="24">
        <f>G16-G19+G20</f>
        <v/>
      </c>
      <c r="H21" s="24">
        <f>H16-H19+H20</f>
        <v/>
      </c>
      <c r="I21">
        <f>I16-I19+I20</f>
        <v/>
      </c>
    </row>
    <row r="22">
      <c r="A22" s="8" t="inlineStr">
        <is>
          <t>(-) Income Tax</t>
        </is>
      </c>
      <c r="B22" s="29">
        <f>B21*Assumptions!B11</f>
        <v/>
      </c>
      <c r="C22" s="29">
        <f>C21*Assumptions!C11</f>
        <v/>
      </c>
      <c r="D22" s="29">
        <f>D21*Assumptions!D11</f>
        <v/>
      </c>
      <c r="E22" s="29">
        <f>E21*Assumptions!E11</f>
        <v/>
      </c>
      <c r="F22" s="15">
        <f>F21*Assumptions!F11</f>
        <v/>
      </c>
      <c r="G22" s="15">
        <f>G21*Assumptions!G11</f>
        <v/>
      </c>
      <c r="H22" s="15">
        <f>H21*Assumptions!H11</f>
        <v/>
      </c>
      <c r="I22">
        <f>I21*Assumptions!I11</f>
        <v/>
      </c>
    </row>
    <row r="23">
      <c r="A23" s="8" t="inlineStr">
        <is>
          <t>Effective Tax Rate</t>
        </is>
      </c>
      <c r="B23" s="16">
        <f>IF(B21=0,0,B22/B21)</f>
        <v/>
      </c>
      <c r="C23" s="16">
        <f>IF(C21=0,0,C22/C21)</f>
        <v/>
      </c>
      <c r="D23" s="16">
        <f>IF(D21=0,0,D22/D21)</f>
        <v/>
      </c>
      <c r="E23" s="16">
        <f>IF(E21=0,0,E22/E21)</f>
        <v/>
      </c>
      <c r="F23" s="17">
        <f>IF(F21=0,0,F22/F21)</f>
        <v/>
      </c>
      <c r="G23" s="17">
        <f>IF(G21=0,0,G22/G21)</f>
        <v/>
      </c>
      <c r="H23" s="17">
        <f>IF(H21=0,0,H22/H21)</f>
        <v/>
      </c>
      <c r="I23" s="16">
        <f>IF(I21=0,0,I22/I21)</f>
        <v/>
      </c>
    </row>
    <row r="24">
      <c r="A24" s="18" t="inlineStr">
        <is>
          <t>Net Income</t>
        </is>
      </c>
      <c r="B24" s="19">
        <f>B21-B22</f>
        <v/>
      </c>
      <c r="C24" s="19">
        <f>C21-C22</f>
        <v/>
      </c>
      <c r="D24" s="19">
        <f>D21-D22</f>
        <v/>
      </c>
      <c r="E24" s="19">
        <f>E21-E22</f>
        <v/>
      </c>
      <c r="F24" s="20">
        <f>F21-F22</f>
        <v/>
      </c>
      <c r="G24" s="20">
        <f>G21-G22</f>
        <v/>
      </c>
      <c r="H24" s="20">
        <f>H21-H22</f>
        <v/>
      </c>
      <c r="I24">
        <f>I21-I22</f>
        <v/>
      </c>
    </row>
    <row r="25">
      <c r="A25" s="8" t="inlineStr">
        <is>
          <t>Net Margin %</t>
        </is>
      </c>
      <c r="B25" s="16">
        <f>B24/B4</f>
        <v/>
      </c>
      <c r="C25" s="16">
        <f>C24/C4</f>
        <v/>
      </c>
      <c r="D25" s="16">
        <f>D24/D4</f>
        <v/>
      </c>
      <c r="E25" s="16">
        <f>E24/E4</f>
        <v/>
      </c>
      <c r="F25" s="17">
        <f>F24/F4</f>
        <v/>
      </c>
      <c r="G25" s="17">
        <f>G24/G4</f>
        <v/>
      </c>
      <c r="H25" s="17">
        <f>H24/H4</f>
        <v/>
      </c>
      <c r="I25" s="16">
        <f>I24/I4</f>
        <v/>
      </c>
    </row>
    <row r="26">
      <c r="A26" s="8" t="inlineStr"/>
      <c r="F26" s="21" t="n"/>
      <c r="G26" s="21" t="n"/>
      <c r="H26" s="21" t="n"/>
    </row>
    <row r="27">
      <c r="A27" s="13" t="inlineStr">
        <is>
          <t>EPS (Diluted)</t>
        </is>
      </c>
      <c r="B27" s="30">
        <f>B24/Assumptions!B20</f>
        <v/>
      </c>
      <c r="C27" s="30">
        <f>C24/Assumptions!C20</f>
        <v/>
      </c>
      <c r="D27" s="30">
        <f>D24/Assumptions!D20</f>
        <v/>
      </c>
      <c r="E27" s="30">
        <f>E24/Assumptions!E20</f>
        <v/>
      </c>
      <c r="F27" s="31">
        <f>F24/Assumptions!F20</f>
        <v/>
      </c>
      <c r="G27" s="31">
        <f>G24/Assumptions!G20</f>
        <v/>
      </c>
      <c r="H27" s="31">
        <f>H24/Assumptions!H20</f>
        <v/>
      </c>
      <c r="I27" s="30">
        <f>I24/Assumptions!I20</f>
        <v/>
      </c>
    </row>
    <row r="28">
      <c r="A28" s="22" t="inlineStr">
        <is>
          <t>EBITDA</t>
        </is>
      </c>
      <c r="B28" s="23">
        <f>B16+B4*Assumptions!B10</f>
        <v/>
      </c>
      <c r="C28" s="23">
        <f>C16+C4*Assumptions!C10</f>
        <v/>
      </c>
      <c r="D28" s="23">
        <f>D16+D4*Assumptions!D10</f>
        <v/>
      </c>
      <c r="E28" s="23">
        <f>E16+E4*Assumptions!E10</f>
        <v/>
      </c>
      <c r="F28" s="24">
        <f>F16+F4*Assumptions!F10</f>
        <v/>
      </c>
      <c r="G28" s="24">
        <f>G16+G4*Assumptions!G10</f>
        <v/>
      </c>
      <c r="H28" s="24">
        <f>H16+H4*Assumptions!H10</f>
        <v/>
      </c>
      <c r="I28">
        <f>I16+I4*Assumptions!I10</f>
        <v/>
      </c>
    </row>
    <row r="29">
      <c r="A29" s="8" t="inlineStr">
        <is>
          <t>EBITDA Margin %</t>
        </is>
      </c>
      <c r="B29" s="16">
        <f>B28/B4</f>
        <v/>
      </c>
      <c r="C29" s="16">
        <f>C28/C4</f>
        <v/>
      </c>
      <c r="D29" s="16">
        <f>D28/D4</f>
        <v/>
      </c>
      <c r="E29" s="16">
        <f>E28/E4</f>
        <v/>
      </c>
      <c r="F29" s="17">
        <f>F28/F4</f>
        <v/>
      </c>
      <c r="G29" s="17">
        <f>G28/G4</f>
        <v/>
      </c>
      <c r="H29" s="17">
        <f>H28/H4</f>
        <v/>
      </c>
      <c r="I29" s="16">
        <f>I28/I4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Balance Sheet � MELI ($M) [UPDATED POST Q4-2025]</t>
        </is>
      </c>
    </row>
    <row r="3">
      <c r="A3" s="2" t="inlineStr"/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2025A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</row>
    <row r="4">
      <c r="A4" s="13" t="inlineStr">
        <is>
          <t>ASSETS</t>
        </is>
      </c>
    </row>
    <row r="5">
      <c r="A5" s="8" t="inlineStr">
        <is>
          <t>Cash &amp; Equivalents</t>
        </is>
      </c>
      <c r="B5" s="14" t="n">
        <v>1550</v>
      </c>
      <c r="C5" s="14" t="n">
        <v>2100</v>
      </c>
      <c r="D5" s="14" t="n">
        <v>2600</v>
      </c>
      <c r="E5" s="14" t="n">
        <v>3200</v>
      </c>
      <c r="F5" s="32">
        <f>E5+'Cash Flow'!F21</f>
        <v/>
      </c>
      <c r="G5" s="32">
        <f>F5+'Cash Flow'!G21</f>
        <v/>
      </c>
      <c r="H5" s="32">
        <f>G5+'Cash Flow'!H21</f>
        <v/>
      </c>
      <c r="I5" s="26">
        <f>H5+'Cash Flow'!I21</f>
        <v/>
      </c>
    </row>
    <row r="6">
      <c r="A6" s="8" t="inlineStr">
        <is>
          <t>Short-Term Investments</t>
        </is>
      </c>
      <c r="B6" s="14" t="n">
        <v>2200</v>
      </c>
      <c r="C6" s="14" t="n">
        <v>2800</v>
      </c>
      <c r="D6" s="14" t="n">
        <v>4500</v>
      </c>
      <c r="E6" s="14" t="n">
        <v>5400</v>
      </c>
      <c r="F6" s="29">
        <f>E6*1.12</f>
        <v/>
      </c>
      <c r="G6" s="29">
        <f>F6*1.12</f>
        <v/>
      </c>
      <c r="H6" s="29">
        <f>G6*1.12</f>
        <v/>
      </c>
      <c r="I6">
        <f>H6*1.12</f>
        <v/>
      </c>
    </row>
    <row r="7">
      <c r="A7" s="8" t="inlineStr">
        <is>
          <t>Accounts Receivable</t>
        </is>
      </c>
      <c r="B7" s="14" t="n">
        <v>1300</v>
      </c>
      <c r="C7" s="14" t="n">
        <v>1665</v>
      </c>
      <c r="D7" s="14" t="n">
        <v>2277</v>
      </c>
      <c r="E7" s="14" t="n">
        <v>3010</v>
      </c>
      <c r="F7" s="29">
        <f>'Income Statement'!F4*Assumptions!F14/365</f>
        <v/>
      </c>
      <c r="G7" s="29">
        <f>'Income Statement'!G4*Assumptions!G14/365</f>
        <v/>
      </c>
      <c r="H7" s="29">
        <f>'Income Statement'!H4*Assumptions!H14/365</f>
        <v/>
      </c>
      <c r="I7">
        <f>'Income Statement'!I4*Assumptions!I14/365</f>
        <v/>
      </c>
    </row>
    <row r="8">
      <c r="A8" s="8" t="inlineStr">
        <is>
          <t>Inventory</t>
        </is>
      </c>
      <c r="B8" s="14" t="n">
        <v>433</v>
      </c>
      <c r="C8" s="14" t="n">
        <v>555</v>
      </c>
      <c r="D8" s="14" t="n">
        <v>740</v>
      </c>
      <c r="E8" s="14" t="n">
        <v>920</v>
      </c>
      <c r="F8" s="29">
        <f>'Income Statement'!F6*Assumptions!F15/365</f>
        <v/>
      </c>
      <c r="G8" s="29">
        <f>'Income Statement'!G6*Assumptions!G15/365</f>
        <v/>
      </c>
      <c r="H8" s="29">
        <f>'Income Statement'!H6*Assumptions!H15/365</f>
        <v/>
      </c>
      <c r="I8">
        <f>'Income Statement'!I6*Assumptions!I15/365</f>
        <v/>
      </c>
    </row>
    <row r="9">
      <c r="A9" s="8" t="inlineStr">
        <is>
          <t>Other Current Assets</t>
        </is>
      </c>
      <c r="B9" s="14" t="n">
        <v>800</v>
      </c>
      <c r="C9" s="14" t="n">
        <v>1000</v>
      </c>
      <c r="D9" s="14" t="n">
        <v>1400</v>
      </c>
      <c r="E9" s="14" t="n">
        <v>1800</v>
      </c>
      <c r="F9" s="29">
        <f>E9*1.08</f>
        <v/>
      </c>
      <c r="G9" s="29">
        <f>F9*1.08</f>
        <v/>
      </c>
      <c r="H9" s="29">
        <f>G9*1.08</f>
        <v/>
      </c>
      <c r="I9">
        <f>H9*1.08</f>
        <v/>
      </c>
    </row>
    <row r="10">
      <c r="A10" s="13" t="inlineStr">
        <is>
          <t>Total Current Assets</t>
        </is>
      </c>
      <c r="B10" s="33">
        <f>SUM(B5:B9)</f>
        <v/>
      </c>
      <c r="C10" s="33">
        <f>SUM(C5:C9)</f>
        <v/>
      </c>
      <c r="D10" s="33">
        <f>SUM(D5:D9)</f>
        <v/>
      </c>
      <c r="E10" s="33">
        <f>SUM(E5:E9)</f>
        <v/>
      </c>
      <c r="F10" s="33">
        <f>SUM(F5:F9)</f>
        <v/>
      </c>
      <c r="G10" s="33">
        <f>SUM(G5:G9)</f>
        <v/>
      </c>
      <c r="H10" s="33">
        <f>SUM(H5:H9)</f>
        <v/>
      </c>
      <c r="I10">
        <f>SUM(I5:I9)</f>
        <v/>
      </c>
    </row>
    <row r="11">
      <c r="A11" s="8" t="inlineStr"/>
    </row>
    <row r="12">
      <c r="A12" s="8" t="inlineStr">
        <is>
          <t>PP&amp;E (net)</t>
        </is>
      </c>
      <c r="B12" s="14" t="n">
        <v>1500</v>
      </c>
      <c r="C12" s="14" t="n">
        <v>2000</v>
      </c>
      <c r="D12" s="14" t="n">
        <v>3000</v>
      </c>
      <c r="E12" s="14" t="n">
        <v>3430</v>
      </c>
      <c r="F12" s="29">
        <f>E12+'Income Statement'!F4*Assumptions!F13-'Income Statement'!F4*Assumptions!F10</f>
        <v/>
      </c>
      <c r="G12" s="29">
        <f>F12+'Income Statement'!G4*Assumptions!G13-'Income Statement'!G4*Assumptions!G10</f>
        <v/>
      </c>
      <c r="H12" s="29">
        <f>G12+'Income Statement'!H4*Assumptions!H13-'Income Statement'!H4*Assumptions!H10</f>
        <v/>
      </c>
      <c r="I12">
        <f>H12+'Income Statement'!I4*Assumptions!I13-'Income Statement'!I4*Assumptions!I10</f>
        <v/>
      </c>
    </row>
    <row r="13">
      <c r="A13" s="8" t="inlineStr">
        <is>
          <t>Intangibles &amp; Goodwill</t>
        </is>
      </c>
      <c r="B13" s="14" t="n">
        <v>350</v>
      </c>
      <c r="C13" s="14" t="n">
        <v>380</v>
      </c>
      <c r="D13" s="14" t="n">
        <v>420</v>
      </c>
      <c r="E13" s="14" t="n">
        <v>450</v>
      </c>
      <c r="F13" s="29">
        <f>E13</f>
        <v/>
      </c>
      <c r="G13" s="29">
        <f>F13</f>
        <v/>
      </c>
      <c r="H13" s="29">
        <f>G13</f>
        <v/>
      </c>
      <c r="I13">
        <f>H13</f>
        <v/>
      </c>
    </row>
    <row r="14">
      <c r="A14" s="8" t="inlineStr">
        <is>
          <t>Long-Term Debt Receivables</t>
        </is>
      </c>
      <c r="B14" s="14" t="n">
        <v>4000</v>
      </c>
      <c r="C14" s="14" t="n">
        <v>5200</v>
      </c>
      <c r="D14" s="14" t="n">
        <v>7200</v>
      </c>
      <c r="E14" s="14" t="n">
        <v>12500</v>
      </c>
      <c r="F14" s="29">
        <f>E14*1.18</f>
        <v/>
      </c>
      <c r="G14" s="29">
        <f>F14*1.18</f>
        <v/>
      </c>
      <c r="H14" s="29">
        <f>G14*1.18</f>
        <v/>
      </c>
      <c r="I14">
        <f>H14*1.18</f>
        <v/>
      </c>
    </row>
    <row r="15">
      <c r="A15" s="8" t="inlineStr">
        <is>
          <t>Other Non-Current Assets</t>
        </is>
      </c>
      <c r="B15" s="14" t="n">
        <v>1603</v>
      </c>
      <c r="C15" s="14" t="n">
        <v>1912</v>
      </c>
      <c r="D15" s="14" t="n">
        <v>3059</v>
      </c>
      <c r="E15" s="14" t="n">
        <v>3500</v>
      </c>
      <c r="F15" s="29">
        <f>E15*1.06</f>
        <v/>
      </c>
      <c r="G15" s="29">
        <f>F15*1.06</f>
        <v/>
      </c>
      <c r="H15" s="29">
        <f>G15*1.06</f>
        <v/>
      </c>
      <c r="I15">
        <f>H15*1.06</f>
        <v/>
      </c>
    </row>
    <row r="16">
      <c r="A16" s="13" t="inlineStr">
        <is>
          <t>Total Assets</t>
        </is>
      </c>
      <c r="B16" s="33">
        <f>B10+B12+B13+B14+B15</f>
        <v/>
      </c>
      <c r="C16" s="33">
        <f>C10+C12+C13+C14+C15</f>
        <v/>
      </c>
      <c r="D16" s="33">
        <f>D10+D12+D13+D14+D15</f>
        <v/>
      </c>
      <c r="E16" s="33">
        <f>E10+E12+E13+E14+E15</f>
        <v/>
      </c>
      <c r="F16" s="33">
        <f>F10+F12+F13+F14+F15</f>
        <v/>
      </c>
      <c r="G16" s="33">
        <f>G10+G12+G13+G14+G15</f>
        <v/>
      </c>
      <c r="H16" s="33">
        <f>H10+H12+H13+H14+H15</f>
        <v/>
      </c>
      <c r="I16">
        <f>I10+I12+I13+I14+I15</f>
        <v/>
      </c>
    </row>
    <row r="17">
      <c r="A17" s="8" t="inlineStr"/>
    </row>
    <row r="18">
      <c r="A18" s="13" t="inlineStr">
        <is>
          <t>LIABILITIES</t>
        </is>
      </c>
    </row>
    <row r="19">
      <c r="A19" s="8" t="inlineStr">
        <is>
          <t>Accounts Payable</t>
        </is>
      </c>
      <c r="B19" s="14" t="n">
        <v>1733</v>
      </c>
      <c r="C19" s="14" t="n">
        <v>2299</v>
      </c>
      <c r="D19" s="14" t="n">
        <v>3130</v>
      </c>
      <c r="E19" s="14" t="n">
        <v>4200</v>
      </c>
      <c r="F19" s="29">
        <f>'Income Statement'!F6*Assumptions!F16/365</f>
        <v/>
      </c>
      <c r="G19" s="29">
        <f>'Income Statement'!G6*Assumptions!G16/365</f>
        <v/>
      </c>
      <c r="H19" s="29">
        <f>'Income Statement'!H6*Assumptions!H16/365</f>
        <v/>
      </c>
      <c r="I19">
        <f>'Income Statement'!I6*Assumptions!I16/365</f>
        <v/>
      </c>
    </row>
    <row r="20">
      <c r="A20" s="8" t="inlineStr">
        <is>
          <t>Accrued Liabilities</t>
        </is>
      </c>
      <c r="B20" s="14" t="n">
        <v>843</v>
      </c>
      <c r="C20" s="14" t="n">
        <v>1158</v>
      </c>
      <c r="D20" s="14" t="n">
        <v>1558</v>
      </c>
      <c r="E20" s="14" t="n">
        <v>2110</v>
      </c>
      <c r="F20" s="29">
        <f>'Income Statement'!F4*Assumptions!F17</f>
        <v/>
      </c>
      <c r="G20" s="29">
        <f>'Income Statement'!G4*Assumptions!G17</f>
        <v/>
      </c>
      <c r="H20" s="29">
        <f>'Income Statement'!H4*Assumptions!H17</f>
        <v/>
      </c>
      <c r="I20">
        <f>'Income Statement'!I4*Assumptions!I17</f>
        <v/>
      </c>
    </row>
    <row r="21">
      <c r="A21" s="8" t="inlineStr">
        <is>
          <t>Short-Term Debt</t>
        </is>
      </c>
      <c r="B21" s="14" t="n">
        <v>2500</v>
      </c>
      <c r="C21" s="14" t="n">
        <v>3200</v>
      </c>
      <c r="D21" s="14" t="n">
        <v>4500</v>
      </c>
      <c r="E21" s="14" t="n">
        <v>5200</v>
      </c>
      <c r="F21" s="14">
        <f>E21*1.08</f>
        <v/>
      </c>
      <c r="G21" s="14">
        <f>F21*1.08</f>
        <v/>
      </c>
      <c r="H21" s="14">
        <f>G21*1.08</f>
        <v/>
      </c>
      <c r="I21" s="28">
        <f>H21*1.08</f>
        <v/>
      </c>
    </row>
    <row r="22">
      <c r="A22" s="8" t="inlineStr">
        <is>
          <t>Other Current Liabilities</t>
        </is>
      </c>
      <c r="B22" s="14" t="n">
        <v>1200</v>
      </c>
      <c r="C22" s="14" t="n">
        <v>1500</v>
      </c>
      <c r="D22" s="14" t="n">
        <v>2000</v>
      </c>
      <c r="E22" s="14" t="n">
        <v>2400</v>
      </c>
      <c r="F22" s="29">
        <f>E22*1.06</f>
        <v/>
      </c>
      <c r="G22" s="29">
        <f>F22*1.06</f>
        <v/>
      </c>
      <c r="H22" s="29">
        <f>G22*1.06</f>
        <v/>
      </c>
      <c r="I22">
        <f>H22*1.06</f>
        <v/>
      </c>
    </row>
    <row r="23">
      <c r="A23" s="13" t="inlineStr">
        <is>
          <t>Total Current Liabilities</t>
        </is>
      </c>
      <c r="B23" s="33">
        <f>SUM(B19:B22)</f>
        <v/>
      </c>
      <c r="C23" s="33">
        <f>SUM(C19:C22)</f>
        <v/>
      </c>
      <c r="D23" s="33">
        <f>SUM(D19:D22)</f>
        <v/>
      </c>
      <c r="E23" s="33">
        <f>SUM(E19:E22)</f>
        <v/>
      </c>
      <c r="F23" s="33">
        <f>SUM(F19:F22)</f>
        <v/>
      </c>
      <c r="G23" s="33">
        <f>SUM(G19:G22)</f>
        <v/>
      </c>
      <c r="H23" s="33">
        <f>SUM(H19:H22)</f>
        <v/>
      </c>
      <c r="I23">
        <f>SUM(I19:I22)</f>
        <v/>
      </c>
    </row>
    <row r="24">
      <c r="A24" s="8" t="inlineStr"/>
    </row>
    <row r="25">
      <c r="A25" s="8" t="inlineStr">
        <is>
          <t>Long-Term Debt</t>
        </is>
      </c>
      <c r="B25" s="14" t="n">
        <v>4500</v>
      </c>
      <c r="C25" s="14" t="n">
        <v>5200</v>
      </c>
      <c r="D25" s="14" t="n">
        <v>7200</v>
      </c>
      <c r="E25" s="14" t="n">
        <v>7800</v>
      </c>
      <c r="F25" s="14">
        <f>E25*1.03</f>
        <v/>
      </c>
      <c r="G25" s="14">
        <f>F25*1.03</f>
        <v/>
      </c>
      <c r="H25" s="14">
        <f>G25*1.03</f>
        <v/>
      </c>
      <c r="I25" s="28">
        <f>H25*1.03</f>
        <v/>
      </c>
    </row>
    <row r="26">
      <c r="A26" s="8" t="inlineStr">
        <is>
          <t>Other Non-Current Liabilities</t>
        </is>
      </c>
      <c r="B26" s="14" t="n">
        <v>1133</v>
      </c>
      <c r="C26" s="14" t="n">
        <v>1184</v>
      </c>
      <c r="D26" s="14" t="n">
        <v>2457</v>
      </c>
      <c r="E26" s="14" t="n">
        <v>2700</v>
      </c>
      <c r="F26" s="29">
        <f>E26*1.03</f>
        <v/>
      </c>
      <c r="G26" s="29">
        <f>F26*1.03</f>
        <v/>
      </c>
      <c r="H26" s="29">
        <f>G26*1.03</f>
        <v/>
      </c>
      <c r="I26">
        <f>H26*1.03</f>
        <v/>
      </c>
    </row>
    <row r="27">
      <c r="A27" s="13" t="inlineStr">
        <is>
          <t>Total Liabilities</t>
        </is>
      </c>
      <c r="B27" s="33">
        <f>B23+B25+B26</f>
        <v/>
      </c>
      <c r="C27" s="33">
        <f>C23+C25+C26</f>
        <v/>
      </c>
      <c r="D27" s="33">
        <f>D23+D25+D26</f>
        <v/>
      </c>
      <c r="E27" s="33">
        <f>E23+E25+E26</f>
        <v/>
      </c>
      <c r="F27" s="33">
        <f>F23+F25+F26</f>
        <v/>
      </c>
      <c r="G27" s="33">
        <f>G23+G25+G26</f>
        <v/>
      </c>
      <c r="H27" s="33">
        <f>H23+H25+H26</f>
        <v/>
      </c>
      <c r="I27">
        <f>I23+I25+I26</f>
        <v/>
      </c>
    </row>
    <row r="28">
      <c r="A28" s="8" t="inlineStr"/>
    </row>
    <row r="29">
      <c r="A29" s="13" t="inlineStr">
        <is>
          <t>EQUITY</t>
        </is>
      </c>
    </row>
    <row r="30">
      <c r="A30" s="8" t="inlineStr">
        <is>
          <t>Retained Earnings</t>
        </is>
      </c>
      <c r="B30" s="29">
        <f>B16-B27-B31</f>
        <v/>
      </c>
      <c r="C30" s="29">
        <f>C16-C27-C31</f>
        <v/>
      </c>
      <c r="D30" s="29">
        <f>D16-D27-D31</f>
        <v/>
      </c>
      <c r="E30" s="29">
        <f>E16-E27-E31</f>
        <v/>
      </c>
      <c r="F30" s="29">
        <f>E30+'Income Statement'!F24</f>
        <v/>
      </c>
      <c r="G30" s="29">
        <f>F30+'Income Statement'!G24</f>
        <v/>
      </c>
      <c r="H30" s="29">
        <f>G30+'Income Statement'!H24</f>
        <v/>
      </c>
      <c r="I30">
        <f>H30+'Income Statement'!I24</f>
        <v/>
      </c>
    </row>
    <row r="31">
      <c r="A31" s="8" t="inlineStr">
        <is>
          <t>Other Equity</t>
        </is>
      </c>
      <c r="B31" s="14" t="n">
        <v>1827</v>
      </c>
      <c r="C31" s="14" t="n">
        <v>3071</v>
      </c>
      <c r="D31" s="14" t="n">
        <v>4351</v>
      </c>
      <c r="E31" s="14" t="n">
        <v>4351</v>
      </c>
      <c r="F31" s="29">
        <f>E31</f>
        <v/>
      </c>
      <c r="G31" s="29">
        <f>F31</f>
        <v/>
      </c>
      <c r="H31" s="29">
        <f>G31</f>
        <v/>
      </c>
      <c r="I31">
        <f>H31</f>
        <v/>
      </c>
    </row>
    <row r="32">
      <c r="A32" s="13" t="inlineStr">
        <is>
          <t>Total Equity</t>
        </is>
      </c>
      <c r="B32" s="33">
        <f>B30+B31</f>
        <v/>
      </c>
      <c r="C32" s="33">
        <f>C30+C31</f>
        <v/>
      </c>
      <c r="D32" s="33">
        <f>D30+D31</f>
        <v/>
      </c>
      <c r="E32" s="33">
        <f>E30+E31</f>
        <v/>
      </c>
      <c r="F32" s="33">
        <f>F30+F31</f>
        <v/>
      </c>
      <c r="G32" s="33">
        <f>G30+G31</f>
        <v/>
      </c>
      <c r="H32" s="33">
        <f>H30+H31</f>
        <v/>
      </c>
      <c r="I32">
        <f>I30+I31</f>
        <v/>
      </c>
    </row>
    <row r="33">
      <c r="A33" s="13" t="inlineStr">
        <is>
          <t>Total Liab. + Equity</t>
        </is>
      </c>
      <c r="B33" s="33">
        <f>B27+B32</f>
        <v/>
      </c>
      <c r="C33" s="33">
        <f>C27+C32</f>
        <v/>
      </c>
      <c r="D33" s="33">
        <f>D27+D32</f>
        <v/>
      </c>
      <c r="E33" s="33">
        <f>E27+E32</f>
        <v/>
      </c>
      <c r="F33" s="33">
        <f>F27+F32</f>
        <v/>
      </c>
      <c r="G33" s="33">
        <f>G27+G32</f>
        <v/>
      </c>
      <c r="H33" s="33">
        <f>H27+H32</f>
        <v/>
      </c>
      <c r="I33">
        <f>I27+I32</f>
        <v/>
      </c>
    </row>
    <row r="34">
      <c r="A34" s="8" t="inlineStr">
        <is>
          <t>Balance Check (should be 0)</t>
        </is>
      </c>
      <c r="B34" s="29">
        <f>B16-B33</f>
        <v/>
      </c>
      <c r="C34" s="29">
        <f>C16-C33</f>
        <v/>
      </c>
      <c r="D34" s="29">
        <f>D16-D33</f>
        <v/>
      </c>
      <c r="E34" s="29">
        <f>E16-E33</f>
        <v/>
      </c>
      <c r="F34" s="29">
        <f>F16-F33</f>
        <v/>
      </c>
      <c r="G34" s="29">
        <f>G16-G33</f>
        <v/>
      </c>
      <c r="H34" s="29">
        <f>H16-H33</f>
        <v/>
      </c>
      <c r="I34" s="29">
        <f>I16-I33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Cash Flow Statement � MELI ($M) [UPDATED POST Q4-2025]</t>
        </is>
      </c>
    </row>
    <row r="3">
      <c r="A3" s="2" t="inlineStr"/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2025A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</row>
    <row r="4">
      <c r="A4" s="13" t="inlineStr">
        <is>
          <t>OPERATING ACTIVITIES</t>
        </is>
      </c>
    </row>
    <row r="5">
      <c r="A5" s="8" t="inlineStr">
        <is>
          <t>Net Income</t>
        </is>
      </c>
      <c r="B5" s="32">
        <f>'Income Statement'!B24</f>
        <v/>
      </c>
      <c r="C5" s="32">
        <f>'Income Statement'!C24</f>
        <v/>
      </c>
      <c r="D5" s="32">
        <f>'Income Statement'!D24</f>
        <v/>
      </c>
      <c r="E5" s="32">
        <f>'Income Statement'!E24</f>
        <v/>
      </c>
      <c r="F5" s="32">
        <f>'Income Statement'!F24</f>
        <v/>
      </c>
      <c r="G5" s="32">
        <f>'Income Statement'!G24</f>
        <v/>
      </c>
      <c r="H5" s="32">
        <f>'Income Statement'!H24</f>
        <v/>
      </c>
      <c r="I5" s="26">
        <f>'Income Statement'!I24</f>
        <v/>
      </c>
    </row>
    <row r="6">
      <c r="A6" s="8" t="inlineStr">
        <is>
          <t>(+) Depreciation &amp; Amortization</t>
        </is>
      </c>
      <c r="B6" s="29">
        <f>'Income Statement'!B4*Assumptions!B10</f>
        <v/>
      </c>
      <c r="C6" s="29">
        <f>'Income Statement'!C4*Assumptions!C10</f>
        <v/>
      </c>
      <c r="D6" s="29">
        <f>'Income Statement'!D4*Assumptions!D10</f>
        <v/>
      </c>
      <c r="E6" s="29">
        <f>'Income Statement'!E4*Assumptions!E10</f>
        <v/>
      </c>
      <c r="F6" s="29">
        <f>'Income Statement'!F4*Assumptions!F10</f>
        <v/>
      </c>
      <c r="G6" s="29">
        <f>'Income Statement'!G4*Assumptions!G10</f>
        <v/>
      </c>
      <c r="H6" s="29">
        <f>'Income Statement'!H4*Assumptions!H10</f>
        <v/>
      </c>
      <c r="I6">
        <f>'Income Statement'!I4*Assumptions!I10</f>
        <v/>
      </c>
    </row>
    <row r="7">
      <c r="A7" s="8" t="inlineStr">
        <is>
          <t>Changes in Working Capital</t>
        </is>
      </c>
      <c r="B7" s="29" t="n"/>
      <c r="C7" s="29" t="n"/>
      <c r="D7" s="29" t="n"/>
      <c r="E7" s="29" t="n"/>
      <c r="F7" s="29">
        <f>F8+F9+F10+F11+F12</f>
        <v/>
      </c>
      <c r="G7" s="29">
        <f>G8+G9+G10+G11+G12</f>
        <v/>
      </c>
      <c r="H7" s="29">
        <f>H8+H9+H10+H11+H12</f>
        <v/>
      </c>
      <c r="I7">
        <f>I8+I9+I10+I11+I12</f>
        <v/>
      </c>
    </row>
    <row r="8">
      <c r="A8" s="8" t="inlineStr">
        <is>
          <t xml:space="preserve">  Change in AR</t>
        </is>
      </c>
      <c r="B8" s="29" t="n"/>
      <c r="C8" s="29" t="n"/>
      <c r="D8" s="29" t="n"/>
      <c r="E8" s="29" t="n"/>
      <c r="F8" s="29">
        <f>-('Balance Sheet'!F7-'Balance Sheet'!E7)</f>
        <v/>
      </c>
      <c r="G8" s="29">
        <f>-('Balance Sheet'!G7-'Balance Sheet'!F7)</f>
        <v/>
      </c>
      <c r="H8" s="29">
        <f>-('Balance Sheet'!H7-'Balance Sheet'!G7)</f>
        <v/>
      </c>
      <c r="I8">
        <f>-('Balance Sheet'!I7-'Balance Sheet'!H7)</f>
        <v/>
      </c>
    </row>
    <row r="9">
      <c r="A9" s="8" t="inlineStr">
        <is>
          <t xml:space="preserve">  Change in Inventory</t>
        </is>
      </c>
      <c r="B9" s="29" t="n"/>
      <c r="C9" s="29" t="n"/>
      <c r="D9" s="29" t="n"/>
      <c r="E9" s="29" t="n"/>
      <c r="F9" s="29">
        <f>-('Balance Sheet'!F8-'Balance Sheet'!E8)</f>
        <v/>
      </c>
      <c r="G9" s="29">
        <f>-('Balance Sheet'!G8-'Balance Sheet'!F8)</f>
        <v/>
      </c>
      <c r="H9" s="29">
        <f>-('Balance Sheet'!H8-'Balance Sheet'!G8)</f>
        <v/>
      </c>
      <c r="I9">
        <f>-('Balance Sheet'!I8-'Balance Sheet'!H8)</f>
        <v/>
      </c>
    </row>
    <row r="10">
      <c r="A10" s="8" t="inlineStr">
        <is>
          <t xml:space="preserve">  Change in AP</t>
        </is>
      </c>
      <c r="B10" s="29" t="n"/>
      <c r="C10" s="29" t="n"/>
      <c r="D10" s="29" t="n"/>
      <c r="E10" s="29" t="n"/>
      <c r="F10" s="29">
        <f>'Balance Sheet'!F19-'Balance Sheet'!E19</f>
        <v/>
      </c>
      <c r="G10" s="29">
        <f>'Balance Sheet'!G19-'Balance Sheet'!F19</f>
        <v/>
      </c>
      <c r="H10" s="29">
        <f>'Balance Sheet'!H19-'Balance Sheet'!G19</f>
        <v/>
      </c>
      <c r="I10">
        <f>'Balance Sheet'!I19-'Balance Sheet'!H19</f>
        <v/>
      </c>
    </row>
    <row r="11">
      <c r="A11" s="8" t="inlineStr">
        <is>
          <t xml:space="preserve">  Change in Accrued Liab</t>
        </is>
      </c>
      <c r="B11" s="29" t="n"/>
      <c r="C11" s="29" t="n"/>
      <c r="D11" s="29" t="n"/>
      <c r="E11" s="29" t="n"/>
      <c r="F11" s="29">
        <f>'Balance Sheet'!F20-'Balance Sheet'!E20</f>
        <v/>
      </c>
      <c r="G11" s="29">
        <f>'Balance Sheet'!G20-'Balance Sheet'!F20</f>
        <v/>
      </c>
      <c r="H11" s="29">
        <f>'Balance Sheet'!H20-'Balance Sheet'!G20</f>
        <v/>
      </c>
      <c r="I11">
        <f>'Balance Sheet'!I20-'Balance Sheet'!H20</f>
        <v/>
      </c>
    </row>
    <row r="12">
      <c r="A12" s="8" t="inlineStr">
        <is>
          <t xml:space="preserve">  Other Operating Changes</t>
        </is>
      </c>
      <c r="B12" s="29" t="n"/>
      <c r="C12" s="29" t="n"/>
      <c r="D12" s="29" t="n"/>
      <c r="E12" s="29" t="n"/>
      <c r="F12" s="14" t="n">
        <v>0</v>
      </c>
      <c r="G12" s="14" t="n">
        <v>0</v>
      </c>
      <c r="H12" s="14" t="n">
        <v>0</v>
      </c>
      <c r="I12" s="28" t="n">
        <v>0</v>
      </c>
    </row>
    <row r="13">
      <c r="A13" s="13" t="inlineStr">
        <is>
          <t>Cash from Operations (CFO)</t>
        </is>
      </c>
      <c r="B13" s="33" t="n">
        <v>2940</v>
      </c>
      <c r="C13" s="33" t="n">
        <v>5140</v>
      </c>
      <c r="D13" s="33" t="n">
        <v>7918</v>
      </c>
      <c r="E13" s="33" t="n">
        <v>9500</v>
      </c>
      <c r="F13" s="33">
        <f>F5+F6+F7</f>
        <v/>
      </c>
      <c r="G13" s="33">
        <f>G5+G6+G7</f>
        <v/>
      </c>
      <c r="H13" s="33">
        <f>H5+H6+H7</f>
        <v/>
      </c>
      <c r="I13">
        <f>I5+I6+I7</f>
        <v/>
      </c>
    </row>
    <row r="14">
      <c r="A14" s="8" t="inlineStr"/>
    </row>
    <row r="15">
      <c r="A15" s="13" t="inlineStr">
        <is>
          <t>INVESTING ACTIVITIES</t>
        </is>
      </c>
    </row>
    <row r="16">
      <c r="A16" s="8" t="inlineStr">
        <is>
          <t>(-) Capital Expenditures</t>
        </is>
      </c>
      <c r="B16" s="14" t="n">
        <v>509</v>
      </c>
      <c r="C16" s="14" t="n">
        <v>860</v>
      </c>
      <c r="D16" s="14" t="n">
        <v>1221</v>
      </c>
      <c r="E16" s="14" t="n">
        <v>1230</v>
      </c>
      <c r="F16" s="29">
        <f>'Income Statement'!F4*Assumptions!F13</f>
        <v/>
      </c>
      <c r="G16" s="29">
        <f>'Income Statement'!G4*Assumptions!G13</f>
        <v/>
      </c>
      <c r="H16" s="29">
        <f>'Income Statement'!H4*Assumptions!H13</f>
        <v/>
      </c>
      <c r="I16">
        <f>'Income Statement'!I4*Assumptions!I13</f>
        <v/>
      </c>
    </row>
    <row r="17">
      <c r="A17" s="8" t="inlineStr">
        <is>
          <t>(-) Net Investment Changes</t>
        </is>
      </c>
      <c r="B17" s="14" t="n">
        <v>-3362</v>
      </c>
      <c r="C17" s="14" t="n">
        <v>-2590</v>
      </c>
      <c r="D17" s="14" t="n">
        <v>-7066</v>
      </c>
      <c r="E17" s="14" t="n">
        <v>-8570</v>
      </c>
      <c r="F17" s="29">
        <f>-('Balance Sheet'!F6-'Balance Sheet'!E6)-('Balance Sheet'!F14-'Balance Sheet'!E14)</f>
        <v/>
      </c>
      <c r="G17" s="29">
        <f>-('Balance Sheet'!G6-'Balance Sheet'!F6)-('Balance Sheet'!G14-'Balance Sheet'!F14)</f>
        <v/>
      </c>
      <c r="H17" s="29">
        <f>-('Balance Sheet'!H6-'Balance Sheet'!G6)-('Balance Sheet'!H14-'Balance Sheet'!G14)</f>
        <v/>
      </c>
      <c r="I17">
        <f>-('Balance Sheet'!I6-'Balance Sheet'!H6)-('Balance Sheet'!I14-'Balance Sheet'!H14)</f>
        <v/>
      </c>
    </row>
    <row r="18">
      <c r="A18" s="13" t="inlineStr">
        <is>
          <t>Cash from Investing (CFI)</t>
        </is>
      </c>
      <c r="B18" s="33">
        <f>-B16+B17</f>
        <v/>
      </c>
      <c r="C18" s="33">
        <f>-C16+C17</f>
        <v/>
      </c>
      <c r="D18" s="33">
        <f>-D16+D17</f>
        <v/>
      </c>
      <c r="E18" s="33">
        <f>-E16+E17</f>
        <v/>
      </c>
      <c r="F18" s="33">
        <f>-F16+F17</f>
        <v/>
      </c>
      <c r="G18" s="33">
        <f>-G16+G17</f>
        <v/>
      </c>
      <c r="H18" s="33">
        <f>-H16+H17</f>
        <v/>
      </c>
      <c r="I18">
        <f>-I16+I17</f>
        <v/>
      </c>
    </row>
    <row r="19">
      <c r="A19" s="8" t="inlineStr"/>
    </row>
    <row r="20">
      <c r="A20" s="13" t="inlineStr">
        <is>
          <t>FINANCING ACTIVITIES</t>
        </is>
      </c>
    </row>
    <row r="21">
      <c r="A21" s="13" t="inlineStr">
        <is>
          <t>Net Change in Cash</t>
        </is>
      </c>
      <c r="B21" s="33">
        <f>B13+B18</f>
        <v/>
      </c>
      <c r="C21" s="33">
        <f>C13+C18</f>
        <v/>
      </c>
      <c r="D21" s="33">
        <f>D13+D18</f>
        <v/>
      </c>
      <c r="E21" s="33">
        <f>E13+E18</f>
        <v/>
      </c>
      <c r="F21" s="33">
        <f>F13+F18</f>
        <v/>
      </c>
      <c r="G21" s="33">
        <f>G13+G18</f>
        <v/>
      </c>
      <c r="H21" s="33">
        <f>H13+H18</f>
        <v/>
      </c>
      <c r="I21">
        <f>I13+I18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2026-02-27T01:02:11Z</dcterms:created>
  <dcterms:modified xsi:type="dcterms:W3CDTF">2026-02-27T01:02:11Z</dcterms:modified>
</cp:coreProperties>
</file>