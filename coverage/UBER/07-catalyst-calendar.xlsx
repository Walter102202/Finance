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ys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5F8A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3CD"/>
        </patternFill>
      </fill>
    </dxf>
    <dxf>
      <fill>
        <patternFill patternType="solid">
          <fgColor rgb="00E0E0E0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6" customWidth="1" min="4" max="4"/>
    <col width="16" customWidth="1" min="5" max="5"/>
    <col width="30" customWidth="1" min="6" max="6"/>
    <col width="14" customWidth="1" min="7" max="7"/>
    <col width="35" customWidth="1" min="8" max="8"/>
  </cols>
  <sheetData>
    <row r="1">
      <c r="A1" s="1" t="inlineStr">
        <is>
          <t>Catalyst Calendar — UBER (Uber Technologies)</t>
        </is>
      </c>
    </row>
    <row r="2">
      <c r="A2" s="2" t="inlineStr">
        <is>
          <t>Last Updated: 2026-02-28</t>
        </is>
      </c>
    </row>
    <row r="4">
      <c r="A4" s="3" t="inlineStr">
        <is>
          <t>Date</t>
        </is>
      </c>
      <c r="B4" s="3" t="inlineStr">
        <is>
          <t>Event</t>
        </is>
      </c>
      <c r="C4" s="3" t="inlineStr">
        <is>
          <t>Category</t>
        </is>
      </c>
      <c r="D4" s="3" t="inlineStr">
        <is>
          <t>Impact (+/-/N)</t>
        </is>
      </c>
      <c r="E4" s="3" t="inlineStr">
        <is>
          <t>Magnitude (H/M/L)</t>
        </is>
      </c>
      <c r="F4" s="3" t="inlineStr">
        <is>
          <t>Recommended Action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2026-02-04</t>
        </is>
      </c>
      <c r="B5" s="5" t="inlineStr">
        <is>
          <t>UBER Q4 &amp; FY2025 Earnings</t>
        </is>
      </c>
      <c r="C5" s="4" t="inlineStr">
        <is>
          <t>Earnings</t>
        </is>
      </c>
      <c r="D5" s="4" t="inlineStr">
        <is>
          <t>+</t>
        </is>
      </c>
      <c r="E5" s="4" t="inlineStr">
        <is>
          <t>H</t>
        </is>
      </c>
      <c r="F5" s="5" t="inlineStr">
        <is>
          <t>Review results vs model; update thesis tracker</t>
        </is>
      </c>
      <c r="G5" s="4" t="inlineStr">
        <is>
          <t>Passed</t>
        </is>
      </c>
      <c r="H5" s="5" t="inlineStr">
        <is>
          <t>Rev $52B; Adj EBITDA $8.7B; FCF $9.8B. Q1 guide below consensus.</t>
        </is>
      </c>
    </row>
    <row r="6">
      <c r="A6" s="4" t="inlineStr">
        <is>
          <t>2026-05-07</t>
        </is>
      </c>
      <c r="B6" s="5" t="inlineStr">
        <is>
          <t>UBER Q1 2026 Earnings (Est.)</t>
        </is>
      </c>
      <c r="C6" s="4" t="inlineStr">
        <is>
          <t>Earnings</t>
        </is>
      </c>
      <c r="D6" s="4" t="inlineStr">
        <is>
          <t>TBD</t>
        </is>
      </c>
      <c r="E6" s="4" t="inlineStr">
        <is>
          <t>H</t>
        </is>
      </c>
      <c r="F6" s="5" t="inlineStr">
        <is>
          <t>Prepare earnings preview 2 weeks before; update model post</t>
        </is>
      </c>
      <c r="G6" s="4" t="inlineStr">
        <is>
          <t>Upcoming</t>
        </is>
      </c>
      <c r="H6" s="5" t="inlineStr">
        <is>
          <t>GBs guide $52-53.5B; Adj EBITDA guide $2.37-2.47B</t>
        </is>
      </c>
    </row>
    <row r="7">
      <c r="A7" s="4" t="inlineStr">
        <is>
          <t>2026-08-06</t>
        </is>
      </c>
      <c r="B7" s="5" t="inlineStr">
        <is>
          <t>UBER Q2 2026 Earnings (Est.)</t>
        </is>
      </c>
      <c r="C7" s="4" t="inlineStr">
        <is>
          <t>Earnings</t>
        </is>
      </c>
      <c r="D7" s="4" t="inlineStr">
        <is>
          <t>TBD</t>
        </is>
      </c>
      <c r="E7" s="4" t="inlineStr">
        <is>
          <t>H</t>
        </is>
      </c>
      <c r="F7" s="5" t="inlineStr">
        <is>
          <t>Prepare earnings preview; key for margin trajectory</t>
        </is>
      </c>
      <c r="G7" s="4" t="inlineStr">
        <is>
          <t>Upcoming</t>
        </is>
      </c>
      <c r="H7" s="5" t="inlineStr">
        <is>
          <t>Date estimated. Watch EBITDA margin recovery.</t>
        </is>
      </c>
    </row>
    <row r="8">
      <c r="A8" s="4" t="inlineStr">
        <is>
          <t>2026-11-05</t>
        </is>
      </c>
      <c r="B8" s="5" t="inlineStr">
        <is>
          <t>UBER Q3 2026 Earnings (Est.)</t>
        </is>
      </c>
      <c r="C8" s="4" t="inlineStr">
        <is>
          <t>Earnings</t>
        </is>
      </c>
      <c r="D8" s="4" t="inlineStr">
        <is>
          <t>TBD</t>
        </is>
      </c>
      <c r="E8" s="4" t="inlineStr">
        <is>
          <t>H</t>
        </is>
      </c>
      <c r="F8" s="5" t="inlineStr">
        <is>
          <t>Prepare earnings preview; AV city expansion update</t>
        </is>
      </c>
      <c r="G8" s="4" t="inlineStr">
        <is>
          <t>Upcoming</t>
        </is>
      </c>
      <c r="H8" s="5" t="inlineStr">
        <is>
          <t>Date estimated based on historical pattern.</t>
        </is>
      </c>
    </row>
    <row r="9">
      <c r="A9" s="4" t="inlineStr">
        <is>
          <t>2026-H1</t>
        </is>
      </c>
      <c r="B9" s="5" t="inlineStr">
        <is>
          <t>Waymo-Uber SF Launch</t>
        </is>
      </c>
      <c r="C9" s="4" t="inlineStr">
        <is>
          <t>AV</t>
        </is>
      </c>
      <c r="D9" s="4" t="inlineStr">
        <is>
          <t>+</t>
        </is>
      </c>
      <c r="E9" s="4" t="inlineStr">
        <is>
          <t>H</t>
        </is>
      </c>
      <c r="F9" s="5" t="inlineStr">
        <is>
          <t>Monitor Waymo expansion to San Francisco on Uber platform</t>
        </is>
      </c>
      <c r="G9" s="4" t="inlineStr">
        <is>
          <t>Upcoming</t>
        </is>
      </c>
      <c r="H9" s="5" t="inlineStr">
        <is>
          <t>Planned late 2026; could accelerate. Major AV catalyst.</t>
        </is>
      </c>
    </row>
    <row r="10">
      <c r="A10" s="4" t="inlineStr">
        <is>
          <t>2026-H1</t>
        </is>
      </c>
      <c r="B10" s="5" t="inlineStr">
        <is>
          <t>Nuro/Lucid Premium AV Service SF</t>
        </is>
      </c>
      <c r="C10" s="4" t="inlineStr">
        <is>
          <t>AV</t>
        </is>
      </c>
      <c r="D10" s="4" t="inlineStr">
        <is>
          <t>+</t>
        </is>
      </c>
      <c r="E10" s="4" t="inlineStr">
        <is>
          <t>M</t>
        </is>
      </c>
      <c r="F10" s="5" t="inlineStr">
        <is>
          <t>Track launch of Uber's own premium AV service with Lucid vehicles</t>
        </is>
      </c>
      <c r="G10" s="4" t="inlineStr">
        <is>
          <t>Upcoming</t>
        </is>
      </c>
      <c r="H10" s="5" t="inlineStr">
        <is>
          <t>$300M investment in Lucid; 20,000 vehicle commitment.</t>
        </is>
      </c>
    </row>
    <row r="11">
      <c r="A11" s="4" t="inlineStr">
        <is>
          <t>2026-Q2</t>
        </is>
      </c>
      <c r="B11" s="5" t="inlineStr">
        <is>
          <t>AV City Expansion Updates</t>
        </is>
      </c>
      <c r="C11" s="4" t="inlineStr">
        <is>
          <t>AV</t>
        </is>
      </c>
      <c r="D11" s="4" t="inlineStr">
        <is>
          <t>+</t>
        </is>
      </c>
      <c r="E11" s="4" t="inlineStr">
        <is>
          <t>H</t>
        </is>
      </c>
      <c r="F11" s="5" t="inlineStr">
        <is>
          <t>Monitor progress toward 15-city AV target by year-end</t>
        </is>
      </c>
      <c r="G11" s="4" t="inlineStr">
        <is>
          <t>Upcoming</t>
        </is>
      </c>
      <c r="H11" s="5" t="inlineStr">
        <is>
          <t>Currently 5 cities; need 10 more. Key execution test.</t>
        </is>
      </c>
    </row>
    <row r="12">
      <c r="A12" s="4" t="inlineStr">
        <is>
          <t>2026-H2</t>
        </is>
      </c>
      <c r="B12" s="5" t="inlineStr">
        <is>
          <t>Nvidia Alliance Update (100K AVs by 2027)</t>
        </is>
      </c>
      <c r="C12" s="4" t="inlineStr">
        <is>
          <t>AV</t>
        </is>
      </c>
      <c r="D12" s="4" t="inlineStr">
        <is>
          <t>+</t>
        </is>
      </c>
      <c r="E12" s="4" t="inlineStr">
        <is>
          <t>M</t>
        </is>
      </c>
      <c r="F12" s="5" t="inlineStr">
        <is>
          <t>Track progress on Nvidia partnership for 100K AVs globally</t>
        </is>
      </c>
      <c r="G12" s="4" t="inlineStr">
        <is>
          <t>Upcoming</t>
        </is>
      </c>
      <c r="H12" s="5" t="inlineStr">
        <is>
          <t>Ambitious target; signals commitment to AV fleet scale.</t>
        </is>
      </c>
    </row>
    <row r="13">
      <c r="A13" s="4" t="inlineStr">
        <is>
          <t>2026-02-12</t>
        </is>
      </c>
      <c r="B13" s="5" t="inlineStr">
        <is>
          <t>Lyft (LYFT) Q4 2025 Earnings</t>
        </is>
      </c>
      <c r="C13" s="4" t="inlineStr">
        <is>
          <t>Competitive</t>
        </is>
      </c>
      <c r="D13" s="4" t="inlineStr">
        <is>
          <t>TBD</t>
        </is>
      </c>
      <c r="E13" s="4" t="inlineStr">
        <is>
          <t>M</t>
        </is>
      </c>
      <c r="F13" s="5" t="inlineStr">
        <is>
          <t>Monitor U.S. share trends; DashPass/Lyft+ adoption</t>
        </is>
      </c>
      <c r="G13" s="4" t="inlineStr">
        <is>
          <t>Passed</t>
        </is>
      </c>
      <c r="H13" s="5" t="inlineStr">
        <is>
          <t>Record revenue; DashPass partnership gaining traction.</t>
        </is>
      </c>
    </row>
    <row r="14">
      <c r="A14" s="4" t="inlineStr">
        <is>
          <t>2026-02-13</t>
        </is>
      </c>
      <c r="B14" s="5" t="inlineStr">
        <is>
          <t>DoorDash (DASH) Q4 2025 Earnings</t>
        </is>
      </c>
      <c r="C14" s="4" t="inlineStr">
        <is>
          <t>Competitive</t>
        </is>
      </c>
      <c r="D14" s="4" t="inlineStr">
        <is>
          <t>TBD</t>
        </is>
      </c>
      <c r="E14" s="4" t="inlineStr">
        <is>
          <t>M</t>
        </is>
      </c>
      <c r="F14" s="5" t="inlineStr">
        <is>
          <t>Monitor U.S. delivery share; Wolt EU performance</t>
        </is>
      </c>
      <c r="G14" s="4" t="inlineStr">
        <is>
          <t>Passed</t>
        </is>
      </c>
      <c r="H14" s="5" t="inlineStr">
        <is>
          <t>DASH growing ~38%; Wolt expanding well in Europe.</t>
        </is>
      </c>
    </row>
    <row r="15">
      <c r="A15" s="4" t="inlineStr">
        <is>
          <t>2026-05-08</t>
        </is>
      </c>
      <c r="B15" s="5" t="inlineStr">
        <is>
          <t>Lyft Q1 2026 Earnings (Est.)</t>
        </is>
      </c>
      <c r="C15" s="4" t="inlineStr">
        <is>
          <t>Competitive</t>
        </is>
      </c>
      <c r="D15" s="4" t="inlineStr">
        <is>
          <t>TBD</t>
        </is>
      </c>
      <c r="E15" s="4" t="inlineStr">
        <is>
          <t>M</t>
        </is>
      </c>
      <c r="F15" s="5" t="inlineStr">
        <is>
          <t>Track U.S. ride-hailing competitive dynamics</t>
        </is>
      </c>
      <c r="G15" s="4" t="inlineStr">
        <is>
          <t>Upcoming</t>
        </is>
      </c>
      <c r="H15" s="5" t="inlineStr"/>
    </row>
    <row r="16">
      <c r="A16" s="4" t="inlineStr">
        <is>
          <t>2026-05-09</t>
        </is>
      </c>
      <c r="B16" s="5" t="inlineStr">
        <is>
          <t>DoorDash Q1 2026 Earnings (Est.)</t>
        </is>
      </c>
      <c r="C16" s="4" t="inlineStr">
        <is>
          <t>Competitive</t>
        </is>
      </c>
      <c r="D16" s="4" t="inlineStr">
        <is>
          <t>TBD</t>
        </is>
      </c>
      <c r="E16" s="4" t="inlineStr">
        <is>
          <t>M</t>
        </is>
      </c>
      <c r="F16" s="5" t="inlineStr">
        <is>
          <t>Track DashPass penetration and delivery share shifts</t>
        </is>
      </c>
      <c r="G16" s="4" t="inlineStr">
        <is>
          <t>Upcoming</t>
        </is>
      </c>
      <c r="H16" s="5" t="inlineStr"/>
    </row>
    <row r="17">
      <c r="A17" s="4" t="inlineStr">
        <is>
          <t>2026-06-10</t>
        </is>
      </c>
      <c r="B17" s="5" t="inlineStr">
        <is>
          <t>Tesla Robotaxi Update (Austin)</t>
        </is>
      </c>
      <c r="C17" s="4" t="inlineStr">
        <is>
          <t>Competitive</t>
        </is>
      </c>
      <c r="D17" s="4" t="inlineStr">
        <is>
          <t>-</t>
        </is>
      </c>
      <c r="E17" s="4" t="inlineStr">
        <is>
          <t>M</t>
        </is>
      </c>
      <c r="F17" s="5" t="inlineStr">
        <is>
          <t>Monitor Tesla AV fleet size and expansion plans</t>
        </is>
      </c>
      <c r="G17" s="4" t="inlineStr">
        <is>
          <t>Upcoming</t>
        </is>
      </c>
      <c r="H17" s="5" t="inlineStr">
        <is>
          <t>44 vehicles in Austin as of early 2026. Scale risk low near-term.</t>
        </is>
      </c>
    </row>
    <row r="18">
      <c r="A18" s="4" t="inlineStr">
        <is>
          <t>2026-H1</t>
        </is>
      </c>
      <c r="B18" s="5" t="inlineStr">
        <is>
          <t>EU Platform Workers Directive Transposition</t>
        </is>
      </c>
      <c r="C18" s="4" t="inlineStr">
        <is>
          <t>Regulatory</t>
        </is>
      </c>
      <c r="D18" s="4" t="inlineStr">
        <is>
          <t>-</t>
        </is>
      </c>
      <c r="E18" s="4" t="inlineStr">
        <is>
          <t>H</t>
        </is>
      </c>
      <c r="F18" s="5" t="inlineStr">
        <is>
          <t>Monitor EU member state implementation deadlines; impact on driver costs</t>
        </is>
      </c>
      <c r="G18" s="4" t="inlineStr">
        <is>
          <t>Upcoming</t>
        </is>
      </c>
      <c r="H18" s="5" t="inlineStr">
        <is>
          <t>2026 transposition deadline. 20-35% driver cost increase risk.</t>
        </is>
      </c>
    </row>
    <row r="19">
      <c r="A19" s="4" t="inlineStr">
        <is>
          <t>2026-Q2</t>
        </is>
      </c>
      <c r="B19" s="5" t="inlineStr">
        <is>
          <t>UK Gig Worker Compensation Review</t>
        </is>
      </c>
      <c r="C19" s="4" t="inlineStr">
        <is>
          <t>Regulatory</t>
        </is>
      </c>
      <c r="D19" s="4" t="inlineStr">
        <is>
          <t>-</t>
        </is>
      </c>
      <c r="E19" s="4" t="inlineStr">
        <is>
          <t>M</t>
        </is>
      </c>
      <c r="F19" s="5" t="inlineStr">
        <is>
          <t>Track UK enforcement of worker classification ruling</t>
        </is>
      </c>
      <c r="G19" s="4" t="inlineStr">
        <is>
          <t>Upcoming</t>
        </is>
      </c>
      <c r="H19" s="5" t="inlineStr">
        <is>
          <t>Uber already paid ~GBP 600M; ongoing compliance costs.</t>
        </is>
      </c>
    </row>
    <row r="20">
      <c r="A20" s="4" t="inlineStr">
        <is>
          <t>2026-H2</t>
        </is>
      </c>
      <c r="B20" s="5" t="inlineStr">
        <is>
          <t>California AB5 / Prop 22 Litigation Update</t>
        </is>
      </c>
      <c r="C20" s="4" t="inlineStr">
        <is>
          <t>Regulatory</t>
        </is>
      </c>
      <c r="D20" s="4" t="inlineStr">
        <is>
          <t>N</t>
        </is>
      </c>
      <c r="E20" s="4" t="inlineStr">
        <is>
          <t>M</t>
        </is>
      </c>
      <c r="F20" s="5" t="inlineStr">
        <is>
          <t>Monitor for any changes to CA independent contractor protections</t>
        </is>
      </c>
      <c r="G20" s="4" t="inlineStr">
        <is>
          <t>Upcoming</t>
        </is>
      </c>
      <c r="H20" s="5" t="inlineStr">
        <is>
          <t>Prop 22 currently protecting IC model in CA.</t>
        </is>
      </c>
    </row>
    <row r="21">
      <c r="A21" s="4" t="inlineStr">
        <is>
          <t>2026-03-19</t>
        </is>
      </c>
      <c r="B21" s="5" t="inlineStr">
        <is>
          <t>Federal Reserve FOMC Meeting</t>
        </is>
      </c>
      <c r="C21" s="4" t="inlineStr">
        <is>
          <t>Macro</t>
        </is>
      </c>
      <c r="D21" s="4" t="inlineStr">
        <is>
          <t>TBD</t>
        </is>
      </c>
      <c r="E21" s="4" t="inlineStr">
        <is>
          <t>M</t>
        </is>
      </c>
      <c r="F21" s="5" t="inlineStr">
        <is>
          <t>Rate decision impacts consumer discretionary spending and ride-hailing demand</t>
        </is>
      </c>
      <c r="G21" s="4" t="inlineStr">
        <is>
          <t>Upcoming</t>
        </is>
      </c>
      <c r="H21" s="5" t="inlineStr">
        <is>
          <t>Consensus: hold. Watch for rate cut signals.</t>
        </is>
      </c>
    </row>
    <row r="22">
      <c r="A22" s="4" t="inlineStr">
        <is>
          <t>2026-05-07</t>
        </is>
      </c>
      <c r="B22" s="5" t="inlineStr">
        <is>
          <t>Federal Reserve FOMC Meeting</t>
        </is>
      </c>
      <c r="C22" s="4" t="inlineStr">
        <is>
          <t>Macro</t>
        </is>
      </c>
      <c r="D22" s="4" t="inlineStr">
        <is>
          <t>TBD</t>
        </is>
      </c>
      <c r="E22" s="4" t="inlineStr">
        <is>
          <t>M</t>
        </is>
      </c>
      <c r="F22" s="5" t="inlineStr">
        <is>
          <t>Potential rate cut could boost consumer spending and ride volumes</t>
        </is>
      </c>
      <c r="G22" s="4" t="inlineStr">
        <is>
          <t>Upcoming</t>
        </is>
      </c>
      <c r="H22" s="5" t="inlineStr"/>
    </row>
    <row r="23">
      <c r="A23" s="4" t="inlineStr">
        <is>
          <t>2026-06-18</t>
        </is>
      </c>
      <c r="B23" s="5" t="inlineStr">
        <is>
          <t>Federal Reserve FOMC Meeting</t>
        </is>
      </c>
      <c r="C23" s="4" t="inlineStr">
        <is>
          <t>Macro</t>
        </is>
      </c>
      <c r="D23" s="4" t="inlineStr">
        <is>
          <t>+</t>
        </is>
      </c>
      <c r="E23" s="4" t="inlineStr">
        <is>
          <t>M</t>
        </is>
      </c>
      <c r="F23" s="5" t="inlineStr">
        <is>
          <t>Expected first cut of 2026; positive for discretionary spending</t>
        </is>
      </c>
      <c r="G23" s="4" t="inlineStr">
        <is>
          <t>Upcoming</t>
        </is>
      </c>
      <c r="H23" s="5" t="inlineStr">
        <is>
          <t>Consensus: 25bp cut to 4.0-4.25%</t>
        </is>
      </c>
    </row>
    <row r="24">
      <c r="A24" s="4" t="inlineStr">
        <is>
          <t>2026-05-15</t>
        </is>
      </c>
      <c r="B24" s="5" t="inlineStr">
        <is>
          <t>UBER Annual Shareholders Meeting (Est.)</t>
        </is>
      </c>
      <c r="C24" s="4" t="inlineStr">
        <is>
          <t>Corporate</t>
        </is>
      </c>
      <c r="D24" s="4" t="inlineStr">
        <is>
          <t>N</t>
        </is>
      </c>
      <c r="E24" s="4" t="inlineStr">
        <is>
          <t>L</t>
        </is>
      </c>
      <c r="F24" s="5" t="inlineStr">
        <is>
          <t>Standard governance; watch for buyback authorization expansion</t>
        </is>
      </c>
      <c r="G24" s="4" t="inlineStr">
        <is>
          <t>Upcoming</t>
        </is>
      </c>
      <c r="H24" s="5" t="inlineStr">
        <is>
          <t>Date estimated.</t>
        </is>
      </c>
    </row>
    <row r="25">
      <c r="A25" s="4" t="inlineStr">
        <is>
          <t>2026-H2</t>
        </is>
      </c>
      <c r="B25" s="5" t="inlineStr">
        <is>
          <t>Potential UBER Investor Day</t>
        </is>
      </c>
      <c r="C25" s="4" t="inlineStr">
        <is>
          <t>Corporate</t>
        </is>
      </c>
      <c r="D25" s="4" t="inlineStr">
        <is>
          <t>+</t>
        </is>
      </c>
      <c r="E25" s="4" t="inlineStr">
        <is>
          <t>H</t>
        </is>
      </c>
      <c r="F25" s="5" t="inlineStr">
        <is>
          <t>Watch for updated AV strategy, medium-term margin targets, capital return framework</t>
        </is>
      </c>
      <c r="G25" s="4" t="inlineStr">
        <is>
          <t>Upcoming</t>
        </is>
      </c>
      <c r="H25" s="5" t="inlineStr">
        <is>
          <t>Not confirmed; would be significant catalyst if announced.</t>
        </is>
      </c>
    </row>
    <row r="27">
      <c r="A27" s="6" t="inlineStr">
        <is>
          <t>Summary</t>
        </is>
      </c>
    </row>
    <row r="28">
      <c r="A28" s="7" t="inlineStr">
        <is>
          <t>Total Events</t>
        </is>
      </c>
      <c r="B28">
        <f>COUNTA(A5:A25)</f>
        <v/>
      </c>
    </row>
    <row r="29">
      <c r="A29" s="7" t="inlineStr">
        <is>
          <t>Upcoming</t>
        </is>
      </c>
      <c r="B29">
        <f>COUNTIF(G5:G25,"Upcoming")</f>
        <v/>
      </c>
    </row>
    <row r="30">
      <c r="A30" s="7" t="inlineStr">
        <is>
          <t>Passed</t>
        </is>
      </c>
      <c r="B30">
        <f>COUNTIF(G5:G25,"Passed")</f>
        <v/>
      </c>
    </row>
    <row r="31">
      <c r="A31" s="7" t="inlineStr">
        <is>
          <t>High Magnitude Upcoming</t>
        </is>
      </c>
      <c r="B31">
        <f>COUNTIFS(E5:E25,"H",G5:G25,"Upcoming")</f>
        <v/>
      </c>
    </row>
  </sheetData>
  <conditionalFormatting sqref="G5:G25">
    <cfRule type="cellIs" priority="1" operator="equal" dxfId="0">
      <formula>"Upcoming"</formula>
    </cfRule>
    <cfRule type="cellIs" priority="2" operator="equal" dxfId="1">
      <formula>"Passed"</formula>
    </cfRule>
    <cfRule type="cellIs" priority="3" operator="equal" dxfId="2">
      <formula>"Cancelled"</formula>
    </cfRule>
  </conditionalFormatting>
  <conditionalFormatting sqref="D5:D25">
    <cfRule type="cellIs" priority="4" operator="equal" dxfId="3">
      <formula>"+"</formula>
    </cfRule>
    <cfRule type="cellIs" priority="5" operator="equal" dxfId="2">
      <formula>"-"</formula>
    </cfRule>
  </conditionalFormatting>
  <conditionalFormatting sqref="E5:E25">
    <cfRule type="cellIs" priority="6" operator="equal" dxfId="2">
      <formula>"H"</formula>
    </cfRule>
    <cfRule type="cellIs" priority="7" operator="equal" dxfId="0">
      <formula>"M"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2026-02-28T18:07:57Z</dcterms:created>
  <dcterms:modified xsi:type="dcterms:W3CDTF">2026-02-28T18:07:57Z</dcterms:modified>
</cp:coreProperties>
</file>