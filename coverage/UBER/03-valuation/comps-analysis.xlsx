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Data" sheetId="1" state="visible" r:id="rId1"/>
    <sheet name="Trading Multi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#,##0.0"/>
    <numFmt numFmtId="166" formatCode="0.0x"/>
    <numFmt numFmtId="167" formatCode="0.0%"/>
    <numFmt numFmtId="168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2C5F8A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F5E9"/>
      </patternFill>
    </fill>
    <fill>
      <patternFill patternType="solid">
        <fgColor rgb="00F2F6F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7" fillId="5" borderId="1" pivotButton="0" quotePrefix="0" xfId="0"/>
    <xf numFmtId="0" fontId="0" fillId="5" borderId="0" pivotButton="0" quotePrefix="0" xfId="0"/>
    <xf numFmtId="166" fontId="4" fillId="5" borderId="1" pivotButton="0" quotePrefix="0" xfId="0"/>
    <xf numFmtId="167" fontId="4" fillId="5" borderId="1" pivotButton="0" quotePrefix="0" xfId="0"/>
    <xf numFmtId="0" fontId="7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8" fillId="0" borderId="0" pivotButton="0" quotePrefix="0" xfId="0"/>
    <xf numFmtId="0" fontId="9" fillId="0" borderId="1" pivotButton="0" quotePrefix="0" xfId="0"/>
    <xf numFmtId="3" fontId="4" fillId="0" borderId="1" pivotButton="0" quotePrefix="0" xfId="0"/>
    <xf numFmtId="168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6" customWidth="1" min="6" max="6"/>
    <col width="12" customWidth="1" min="7" max="7"/>
    <col width="14" customWidth="1" min="8" max="8"/>
    <col width="18" customWidth="1" min="9" max="9"/>
    <col width="16" customWidth="1" min="10" max="10"/>
    <col width="16" customWidth="1" min="11" max="11"/>
    <col width="16" customWidth="1" min="12" max="12"/>
    <col width="14" customWidth="1" min="13" max="13"/>
  </cols>
  <sheetData>
    <row r="1">
      <c r="A1" s="1" t="inlineStr">
        <is>
          <t>Comparable Company Analysis — UBER</t>
        </is>
      </c>
    </row>
    <row r="2">
      <c r="A2" s="2" t="inlineStr">
        <is>
          <t>Source: Yahoo Finance, StockAnalysis, Company Filings (Feb 2026)</t>
        </is>
      </c>
    </row>
    <row r="4">
      <c r="A4" s="3" t="inlineStr">
        <is>
          <t>Company</t>
        </is>
      </c>
      <c r="B4" s="3" t="inlineStr">
        <is>
          <t>Ticker</t>
        </is>
      </c>
      <c r="C4" s="3" t="inlineStr">
        <is>
          <t>Exchange</t>
        </is>
      </c>
      <c r="D4" s="3" t="inlineStr">
        <is>
          <t>Stock Price ($)</t>
        </is>
      </c>
      <c r="E4" s="3" t="inlineStr">
        <is>
          <t>Shares Out (M)</t>
        </is>
      </c>
      <c r="F4" s="3" t="inlineStr">
        <is>
          <t>Market Cap ($M)</t>
        </is>
      </c>
      <c r="G4" s="3" t="inlineStr">
        <is>
          <t>Cash ($M)</t>
        </is>
      </c>
      <c r="H4" s="3" t="inlineStr">
        <is>
          <t>Total Debt ($M)</t>
        </is>
      </c>
      <c r="I4" s="3" t="inlineStr">
        <is>
          <t>Enterprise Value ($M)</t>
        </is>
      </c>
      <c r="J4" s="3" t="inlineStr">
        <is>
          <t>Revenue TTM ($M)</t>
        </is>
      </c>
      <c r="K4" s="3" t="inlineStr">
        <is>
          <t>EBITDA TTM ($M)</t>
        </is>
      </c>
      <c r="L4" s="3" t="inlineStr">
        <is>
          <t>Net Income TTM ($M)</t>
        </is>
      </c>
      <c r="M4" s="3" t="inlineStr">
        <is>
          <t>Book Value ($M)</t>
        </is>
      </c>
    </row>
    <row r="5">
      <c r="A5" s="4" t="inlineStr">
        <is>
          <t>Uber Technologies</t>
        </is>
      </c>
      <c r="B5" s="5" t="inlineStr">
        <is>
          <t>UBER</t>
        </is>
      </c>
      <c r="C5" s="5" t="inlineStr">
        <is>
          <t>NYSE</t>
        </is>
      </c>
      <c r="D5" s="6" t="n">
        <v>72.83</v>
      </c>
      <c r="E5" s="7" t="n">
        <v>2084</v>
      </c>
      <c r="F5" s="8">
        <f>D5*E5</f>
        <v/>
      </c>
      <c r="G5" s="9" t="n">
        <v>7000</v>
      </c>
      <c r="H5" s="9" t="n">
        <v>9800</v>
      </c>
      <c r="I5" s="8">
        <f>F5+H5-G5</f>
        <v/>
      </c>
      <c r="J5" s="9" t="n">
        <v>52020</v>
      </c>
      <c r="K5" s="9" t="n">
        <v>6310</v>
      </c>
      <c r="L5" s="9" t="n">
        <v>10050</v>
      </c>
      <c r="M5" s="9" t="n">
        <v>28100</v>
      </c>
    </row>
    <row r="6">
      <c r="A6" s="10" t="inlineStr">
        <is>
          <t>DoorDash</t>
        </is>
      </c>
      <c r="B6" s="11" t="inlineStr">
        <is>
          <t>DASH</t>
        </is>
      </c>
      <c r="C6" s="11" t="inlineStr">
        <is>
          <t>NASDAQ</t>
        </is>
      </c>
      <c r="D6" s="12" t="n">
        <v>185</v>
      </c>
      <c r="E6" s="13" t="n">
        <v>405</v>
      </c>
      <c r="F6" s="14">
        <f>D6*E6</f>
        <v/>
      </c>
      <c r="G6" s="15" t="n">
        <v>4600</v>
      </c>
      <c r="H6" s="15" t="n">
        <v>2500</v>
      </c>
      <c r="I6" s="14">
        <f>F6+H6-G6</f>
        <v/>
      </c>
      <c r="J6" s="15" t="n">
        <v>13700</v>
      </c>
      <c r="K6" s="15" t="n">
        <v>1300</v>
      </c>
      <c r="L6" s="15" t="n">
        <v>500</v>
      </c>
      <c r="M6" s="15" t="n">
        <v>7800</v>
      </c>
    </row>
    <row r="7">
      <c r="A7" s="16" t="inlineStr">
        <is>
          <t>Lyft</t>
        </is>
      </c>
      <c r="B7" s="17" t="inlineStr">
        <is>
          <t>LYFT</t>
        </is>
      </c>
      <c r="C7" s="17" t="inlineStr">
        <is>
          <t>NASDAQ</t>
        </is>
      </c>
      <c r="D7" s="18" t="n">
        <v>13.5</v>
      </c>
      <c r="E7" s="19" t="n">
        <v>395</v>
      </c>
      <c r="F7" s="20">
        <f>D7*E7</f>
        <v/>
      </c>
      <c r="G7" s="21" t="n">
        <v>1800</v>
      </c>
      <c r="H7" s="21" t="n">
        <v>1400</v>
      </c>
      <c r="I7" s="20">
        <f>F7+H7-G7</f>
        <v/>
      </c>
      <c r="J7" s="21" t="n">
        <v>6300</v>
      </c>
      <c r="K7" s="21" t="n">
        <v>529</v>
      </c>
      <c r="L7" s="21" t="n">
        <v>300</v>
      </c>
      <c r="M7" s="21" t="n">
        <v>2200</v>
      </c>
    </row>
    <row r="8">
      <c r="A8" s="10" t="inlineStr">
        <is>
          <t>Grab Holdings</t>
        </is>
      </c>
      <c r="B8" s="11" t="inlineStr">
        <is>
          <t>GRAB</t>
        </is>
      </c>
      <c r="C8" s="11" t="inlineStr">
        <is>
          <t>NASDAQ</t>
        </is>
      </c>
      <c r="D8" s="12" t="n">
        <v>4.2</v>
      </c>
      <c r="E8" s="13" t="n">
        <v>3950</v>
      </c>
      <c r="F8" s="14">
        <f>D8*E8</f>
        <v/>
      </c>
      <c r="G8" s="15" t="n">
        <v>5000</v>
      </c>
      <c r="H8" s="15" t="n">
        <v>1200</v>
      </c>
      <c r="I8" s="14">
        <f>F8+H8-G8</f>
        <v/>
      </c>
      <c r="J8" s="15" t="n">
        <v>3200</v>
      </c>
      <c r="K8" s="15" t="n">
        <v>490</v>
      </c>
      <c r="L8" s="15" t="n">
        <v>-100</v>
      </c>
      <c r="M8" s="15" t="n">
        <v>8500</v>
      </c>
    </row>
    <row r="9">
      <c r="A9" s="16" t="inlineStr">
        <is>
          <t>Deliveroo</t>
        </is>
      </c>
      <c r="B9" s="17" t="inlineStr">
        <is>
          <t>ROO</t>
        </is>
      </c>
      <c r="C9" s="17" t="inlineStr">
        <is>
          <t>LSE</t>
        </is>
      </c>
      <c r="D9" s="18" t="n">
        <v>1.5</v>
      </c>
      <c r="E9" s="19" t="n">
        <v>1800</v>
      </c>
      <c r="F9" s="20">
        <f>D9*E9</f>
        <v/>
      </c>
      <c r="G9" s="21" t="n">
        <v>600</v>
      </c>
      <c r="H9" s="21" t="n">
        <v>200</v>
      </c>
      <c r="I9" s="20">
        <f>F9+H9-G9</f>
        <v/>
      </c>
      <c r="J9" s="21" t="n">
        <v>2600</v>
      </c>
      <c r="K9" s="21" t="n">
        <v>120</v>
      </c>
      <c r="L9" s="21" t="n">
        <v>-50</v>
      </c>
      <c r="M9" s="21" t="n">
        <v>1200</v>
      </c>
    </row>
    <row r="10">
      <c r="A10" s="10" t="inlineStr">
        <is>
          <t>Just Eat Takeaway</t>
        </is>
      </c>
      <c r="B10" s="11" t="inlineStr">
        <is>
          <t>TKWY</t>
        </is>
      </c>
      <c r="C10" s="11" t="inlineStr">
        <is>
          <t>Euronext</t>
        </is>
      </c>
      <c r="D10" s="12" t="n">
        <v>17</v>
      </c>
      <c r="E10" s="13" t="n">
        <v>220</v>
      </c>
      <c r="F10" s="14">
        <f>D10*E10</f>
        <v/>
      </c>
      <c r="G10" s="15" t="n">
        <v>800</v>
      </c>
      <c r="H10" s="15" t="n">
        <v>1200</v>
      </c>
      <c r="I10" s="14">
        <f>F10+H10-G10</f>
        <v/>
      </c>
      <c r="J10" s="15" t="n">
        <v>3700</v>
      </c>
      <c r="K10" s="15" t="n">
        <v>300</v>
      </c>
      <c r="L10" s="15" t="n">
        <v>-200</v>
      </c>
      <c r="M10" s="15" t="n">
        <v>3000</v>
      </c>
    </row>
    <row r="11">
      <c r="A11" s="16" t="inlineStr">
        <is>
          <t>Instacart</t>
        </is>
      </c>
      <c r="B11" s="17" t="inlineStr">
        <is>
          <t>CART</t>
        </is>
      </c>
      <c r="C11" s="17" t="inlineStr">
        <is>
          <t>NASDAQ</t>
        </is>
      </c>
      <c r="D11" s="18" t="n">
        <v>28</v>
      </c>
      <c r="E11" s="19" t="n">
        <v>290</v>
      </c>
      <c r="F11" s="20">
        <f>D11*E11</f>
        <v/>
      </c>
      <c r="G11" s="21" t="n">
        <v>2100</v>
      </c>
      <c r="H11" s="21" t="n">
        <v>400</v>
      </c>
      <c r="I11" s="20">
        <f>F11+H11-G11</f>
        <v/>
      </c>
      <c r="J11" s="21" t="n">
        <v>3400</v>
      </c>
      <c r="K11" s="21" t="n">
        <v>850</v>
      </c>
      <c r="L11" s="21" t="n">
        <v>600</v>
      </c>
      <c r="M11" s="21" t="n">
        <v>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8A"/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Trading Multiples — UBER vs Peers</t>
        </is>
      </c>
    </row>
    <row r="3">
      <c r="A3" s="3" t="inlineStr">
        <is>
          <t>Company</t>
        </is>
      </c>
      <c r="B3" s="3" t="inlineStr">
        <is>
          <t>Ticker</t>
        </is>
      </c>
      <c r="C3" s="3" t="inlineStr">
        <is>
          <t>EV/Revenue</t>
        </is>
      </c>
      <c r="D3" s="3" t="inlineStr">
        <is>
          <t>EV/EBITDA</t>
        </is>
      </c>
      <c r="E3" s="3" t="inlineStr">
        <is>
          <t>P/E</t>
        </is>
      </c>
      <c r="F3" s="3" t="inlineStr">
        <is>
          <t>P/Book</t>
        </is>
      </c>
      <c r="G3" s="3" t="inlineStr">
        <is>
          <t>Revenue Gr. YoY</t>
        </is>
      </c>
      <c r="H3" s="3" t="inlineStr">
        <is>
          <t>EBITDA Margin</t>
        </is>
      </c>
      <c r="I3" s="3" t="inlineStr">
        <is>
          <t>Net Margin</t>
        </is>
      </c>
      <c r="J3" s="3" t="inlineStr">
        <is>
          <t>ROE</t>
        </is>
      </c>
    </row>
    <row r="4">
      <c r="A4" s="22">
        <f>'Company Data'!A5</f>
        <v/>
      </c>
      <c r="B4" s="23">
        <f>'Company Data'!B5</f>
        <v/>
      </c>
      <c r="C4" s="24">
        <f>'Company Data'!I5/'Company Data'!J5</f>
        <v/>
      </c>
      <c r="D4" s="24">
        <f>'Company Data'!I5/'Company Data'!K5</f>
        <v/>
      </c>
      <c r="E4" s="24">
        <f>'Company Data'!F5/'Company Data'!L5</f>
        <v/>
      </c>
      <c r="F4" s="24">
        <f>'Company Data'!F5/'Company Data'!M5</f>
        <v/>
      </c>
      <c r="G4" s="25" t="n">
        <v>0.183</v>
      </c>
      <c r="H4" s="26">
        <f>'Company Data'!K5/'Company Data'!J5</f>
        <v/>
      </c>
      <c r="I4" s="26">
        <f>'Company Data'!L5/'Company Data'!J5</f>
        <v/>
      </c>
      <c r="J4" s="26">
        <f>'Company Data'!L5/'Company Data'!M5</f>
        <v/>
      </c>
    </row>
    <row r="5">
      <c r="A5" s="27">
        <f>'Company Data'!A6</f>
        <v/>
      </c>
      <c r="B5" s="28">
        <f>'Company Data'!B6</f>
        <v/>
      </c>
      <c r="C5" s="29">
        <f>'Company Data'!I6/'Company Data'!J6</f>
        <v/>
      </c>
      <c r="D5" s="29">
        <f>'Company Data'!I6/'Company Data'!K6</f>
        <v/>
      </c>
      <c r="E5" s="29">
        <f>'Company Data'!F6/'Company Data'!L6</f>
        <v/>
      </c>
      <c r="F5" s="29">
        <f>'Company Data'!F6/'Company Data'!M6</f>
        <v/>
      </c>
      <c r="G5" s="30" t="n">
        <v>0.38</v>
      </c>
      <c r="H5" s="31">
        <f>'Company Data'!K6/'Company Data'!J6</f>
        <v/>
      </c>
      <c r="I5" s="31">
        <f>'Company Data'!L6/'Company Data'!J6</f>
        <v/>
      </c>
      <c r="J5" s="31">
        <f>'Company Data'!L6/'Company Data'!M6</f>
        <v/>
      </c>
    </row>
    <row r="6">
      <c r="A6" s="32">
        <f>'Company Data'!A7</f>
        <v/>
      </c>
      <c r="B6" s="33">
        <f>'Company Data'!B7</f>
        <v/>
      </c>
      <c r="C6" s="34">
        <f>'Company Data'!I7/'Company Data'!J7</f>
        <v/>
      </c>
      <c r="D6" s="34">
        <f>'Company Data'!I7/'Company Data'!K7</f>
        <v/>
      </c>
      <c r="E6" s="34">
        <f>'Company Data'!F7/'Company Data'!L7</f>
        <v/>
      </c>
      <c r="F6" s="34">
        <f>'Company Data'!F7/'Company Data'!M7</f>
        <v/>
      </c>
      <c r="G6" s="35" t="n">
        <v>0.14</v>
      </c>
      <c r="H6" s="36">
        <f>'Company Data'!K7/'Company Data'!J7</f>
        <v/>
      </c>
      <c r="I6" s="36">
        <f>'Company Data'!L7/'Company Data'!J7</f>
        <v/>
      </c>
      <c r="J6" s="36">
        <f>'Company Data'!L7/'Company Data'!M7</f>
        <v/>
      </c>
    </row>
    <row r="7">
      <c r="A7" s="27">
        <f>'Company Data'!A8</f>
        <v/>
      </c>
      <c r="B7" s="28">
        <f>'Company Data'!B8</f>
        <v/>
      </c>
      <c r="C7" s="29">
        <f>'Company Data'!I8/'Company Data'!J8</f>
        <v/>
      </c>
      <c r="D7" s="29">
        <f>'Company Data'!I8/'Company Data'!K8</f>
        <v/>
      </c>
      <c r="E7" s="29">
        <f>'Company Data'!F8/'Company Data'!L8</f>
        <v/>
      </c>
      <c r="F7" s="29">
        <f>'Company Data'!F8/'Company Data'!M8</f>
        <v/>
      </c>
      <c r="G7" s="30" t="n">
        <v>0.17</v>
      </c>
      <c r="H7" s="31">
        <f>'Company Data'!K8/'Company Data'!J8</f>
        <v/>
      </c>
      <c r="I7" s="31">
        <f>'Company Data'!L8/'Company Data'!J8</f>
        <v/>
      </c>
      <c r="J7" s="31">
        <f>'Company Data'!L8/'Company Data'!M8</f>
        <v/>
      </c>
    </row>
    <row r="8">
      <c r="A8" s="32">
        <f>'Company Data'!A9</f>
        <v/>
      </c>
      <c r="B8" s="33">
        <f>'Company Data'!B9</f>
        <v/>
      </c>
      <c r="C8" s="34">
        <f>'Company Data'!I9/'Company Data'!J9</f>
        <v/>
      </c>
      <c r="D8" s="34">
        <f>'Company Data'!I9/'Company Data'!K9</f>
        <v/>
      </c>
      <c r="E8" s="34">
        <f>'Company Data'!F9/'Company Data'!L9</f>
        <v/>
      </c>
      <c r="F8" s="34">
        <f>'Company Data'!F9/'Company Data'!M9</f>
        <v/>
      </c>
      <c r="G8" s="35" t="n">
        <v>0.1</v>
      </c>
      <c r="H8" s="36">
        <f>'Company Data'!K9/'Company Data'!J9</f>
        <v/>
      </c>
      <c r="I8" s="36">
        <f>'Company Data'!L9/'Company Data'!J9</f>
        <v/>
      </c>
      <c r="J8" s="36">
        <f>'Company Data'!L9/'Company Data'!M9</f>
        <v/>
      </c>
    </row>
    <row r="9">
      <c r="A9" s="27">
        <f>'Company Data'!A10</f>
        <v/>
      </c>
      <c r="B9" s="28">
        <f>'Company Data'!B10</f>
        <v/>
      </c>
      <c r="C9" s="29">
        <f>'Company Data'!I10/'Company Data'!J10</f>
        <v/>
      </c>
      <c r="D9" s="29">
        <f>'Company Data'!I10/'Company Data'!K10</f>
        <v/>
      </c>
      <c r="E9" s="29">
        <f>'Company Data'!F10/'Company Data'!L10</f>
        <v/>
      </c>
      <c r="F9" s="29">
        <f>'Company Data'!F10/'Company Data'!M10</f>
        <v/>
      </c>
      <c r="G9" s="30" t="n">
        <v>-0.05</v>
      </c>
      <c r="H9" s="31">
        <f>'Company Data'!K10/'Company Data'!J10</f>
        <v/>
      </c>
      <c r="I9" s="31">
        <f>'Company Data'!L10/'Company Data'!J10</f>
        <v/>
      </c>
      <c r="J9" s="31">
        <f>'Company Data'!L10/'Company Data'!M10</f>
        <v/>
      </c>
    </row>
    <row r="10">
      <c r="A10" s="32">
        <f>'Company Data'!A11</f>
        <v/>
      </c>
      <c r="B10" s="33">
        <f>'Company Data'!B11</f>
        <v/>
      </c>
      <c r="C10" s="34">
        <f>'Company Data'!I11/'Company Data'!J11</f>
        <v/>
      </c>
      <c r="D10" s="34">
        <f>'Company Data'!I11/'Company Data'!K11</f>
        <v/>
      </c>
      <c r="E10" s="34">
        <f>'Company Data'!F11/'Company Data'!L11</f>
        <v/>
      </c>
      <c r="F10" s="34">
        <f>'Company Data'!F11/'Company Data'!M11</f>
        <v/>
      </c>
      <c r="G10" s="35" t="n">
        <v>0.15</v>
      </c>
      <c r="H10" s="36">
        <f>'Company Data'!K11/'Company Data'!J11</f>
        <v/>
      </c>
      <c r="I10" s="36">
        <f>'Company Data'!L11/'Company Data'!J11</f>
        <v/>
      </c>
      <c r="J10" s="36">
        <f>'Company Data'!L11/'Company Data'!M11</f>
        <v/>
      </c>
    </row>
    <row r="12">
      <c r="A12" s="37" t="inlineStr">
        <is>
          <t>Median</t>
        </is>
      </c>
      <c r="B12" s="38" t="n"/>
      <c r="C12" s="39">
        <f>MEDIAN(C4:C10)</f>
        <v/>
      </c>
      <c r="D12" s="39">
        <f>MEDIAN(D4:D10)</f>
        <v/>
      </c>
      <c r="E12" s="39">
        <f>MEDIAN(E4:E10)</f>
        <v/>
      </c>
      <c r="F12" s="39">
        <f>MEDIAN(F4:F10)</f>
        <v/>
      </c>
      <c r="G12" s="40">
        <f>MEDIAN(G4:G10)</f>
        <v/>
      </c>
      <c r="H12" s="40">
        <f>MEDIAN(H4:H10)</f>
        <v/>
      </c>
      <c r="I12" s="40">
        <f>MEDIAN(I4:I10)</f>
        <v/>
      </c>
      <c r="J12" s="40">
        <f>MEDIAN(J4:J10)</f>
        <v/>
      </c>
    </row>
    <row r="13">
      <c r="A13" s="41" t="inlineStr">
        <is>
          <t>Mean</t>
        </is>
      </c>
      <c r="C13" s="42">
        <f>AVERAGE(C4:C10)</f>
        <v/>
      </c>
      <c r="D13" s="42">
        <f>AVERAGE(D4:D10)</f>
        <v/>
      </c>
      <c r="E13" s="42">
        <f>AVERAGE(E4:E10)</f>
        <v/>
      </c>
      <c r="F13" s="42">
        <f>AVERAGE(F4:F10)</f>
        <v/>
      </c>
      <c r="G13" s="43">
        <f>AVERAGE(G4:G10)</f>
        <v/>
      </c>
      <c r="H13" s="43">
        <f>AVERAGE(H4:H10)</f>
        <v/>
      </c>
      <c r="I13" s="43">
        <f>AVERAGE(I4:I10)</f>
        <v/>
      </c>
      <c r="J13" s="43">
        <f>AVERAGE(J4:J10)</f>
        <v/>
      </c>
    </row>
    <row r="14">
      <c r="A14" s="41" t="inlineStr">
        <is>
          <t>Min</t>
        </is>
      </c>
      <c r="C14" s="42">
        <f>MIN(C4:C10)</f>
        <v/>
      </c>
      <c r="D14" s="42">
        <f>MIN(D4:D10)</f>
        <v/>
      </c>
      <c r="E14" s="42">
        <f>MIN(E4:E10)</f>
        <v/>
      </c>
      <c r="F14" s="42">
        <f>MIN(F4:F10)</f>
        <v/>
      </c>
      <c r="G14" s="43">
        <f>MIN(G4:G10)</f>
        <v/>
      </c>
      <c r="H14" s="43">
        <f>MIN(H4:H10)</f>
        <v/>
      </c>
      <c r="I14" s="43">
        <f>MIN(I4:I10)</f>
        <v/>
      </c>
      <c r="J14" s="43">
        <f>MIN(J4:J10)</f>
        <v/>
      </c>
    </row>
    <row r="15">
      <c r="A15" s="41" t="inlineStr">
        <is>
          <t>Max</t>
        </is>
      </c>
      <c r="C15" s="42">
        <f>MAX(C4:C10)</f>
        <v/>
      </c>
      <c r="D15" s="42">
        <f>MAX(D4:D10)</f>
        <v/>
      </c>
      <c r="E15" s="42">
        <f>MAX(E4:E10)</f>
        <v/>
      </c>
      <c r="F15" s="42">
        <f>MAX(F4:F10)</f>
        <v/>
      </c>
      <c r="G15" s="43">
        <f>MAX(G4:G10)</f>
        <v/>
      </c>
      <c r="H15" s="43">
        <f>MAX(H4:H10)</f>
        <v/>
      </c>
      <c r="I15" s="43">
        <f>MAX(I4:I10)</f>
        <v/>
      </c>
      <c r="J15" s="43">
        <f>MAX(J4:J10)</f>
        <v/>
      </c>
    </row>
    <row r="17">
      <c r="A17" s="44" t="inlineStr">
        <is>
          <t>Implied Valuation for UBER</t>
        </is>
      </c>
    </row>
    <row r="18">
      <c r="A18" s="3" t="inlineStr">
        <is>
          <t>Method</t>
        </is>
      </c>
      <c r="B18" s="3" t="inlineStr">
        <is>
          <t>Multiple Applied</t>
        </is>
      </c>
      <c r="C18" s="3" t="inlineStr">
        <is>
          <t>UBER Metric ($M)</t>
        </is>
      </c>
      <c r="D18" s="3" t="inlineStr">
        <is>
          <t>Implied EV/Equity ($M)</t>
        </is>
      </c>
      <c r="E18" s="3" t="inlineStr">
        <is>
          <t>Implied Price/Share ($)</t>
        </is>
      </c>
    </row>
    <row r="19">
      <c r="A19" s="45" t="inlineStr">
        <is>
          <t>EV/Revenue (Median)</t>
        </is>
      </c>
      <c r="B19" s="42">
        <f>C12</f>
        <v/>
      </c>
      <c r="C19" s="46">
        <f>'Company Data'!J5</f>
        <v/>
      </c>
      <c r="D19" s="46">
        <f>B19*C19</f>
        <v/>
      </c>
      <c r="E19" s="47">
        <f>(D19-'Company Data'!H5+'Company Data'!G5)/'Company Data'!E5</f>
        <v/>
      </c>
    </row>
    <row r="20">
      <c r="A20" s="45" t="inlineStr">
        <is>
          <t>EV/EBITDA (Median)</t>
        </is>
      </c>
      <c r="B20" s="42">
        <f>D12</f>
        <v/>
      </c>
      <c r="C20" s="46">
        <f>'Company Data'!K5</f>
        <v/>
      </c>
      <c r="D20" s="46">
        <f>B20*C20</f>
        <v/>
      </c>
      <c r="E20" s="47">
        <f>(D20-'Company Data'!H5+'Company Data'!G5)/'Company Data'!E5</f>
        <v/>
      </c>
    </row>
    <row r="21">
      <c r="A21" s="45" t="inlineStr">
        <is>
          <t>P/E (Median)</t>
        </is>
      </c>
      <c r="B21" s="42">
        <f>E12</f>
        <v/>
      </c>
      <c r="C21" s="46">
        <f>'Company Data'!L5</f>
        <v/>
      </c>
      <c r="D21" s="46">
        <f>B21*C21</f>
        <v/>
      </c>
      <c r="E21" s="47">
        <f>D21/'Company Data'!E5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2026-02-28T18:00:47Z</dcterms:created>
  <dcterms:modified xsi:type="dcterms:W3CDTF">2026-02-28T18:00:47Z</dcterms:modified>
</cp:coreProperties>
</file>