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CF Projections" sheetId="2" state="visible" r:id="rId2"/>
    <sheet name="Valuation" sheetId="3" state="visible" r:id="rId3"/>
    <sheet name="Sensitivity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"/>
    <numFmt numFmtId="166" formatCode=""/>
    <numFmt numFmtId="167" formatCode="$#,##0"/>
    <numFmt numFmtId="168" formatCode="0.0%"/>
    <numFmt numFmtId="169" formatCode="0.0x"/>
    <numFmt numFmtId="170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2C5F8A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1B3A5C"/>
      <sz val="11"/>
    </font>
    <font>
      <name val="Arial"/>
      <b val="1"/>
      <color rgb="00FF0000"/>
      <sz val="11"/>
    </font>
    <font>
      <name val="Arial"/>
      <b val="1"/>
      <sz val="11"/>
    </font>
    <font>
      <name val="Arial"/>
      <b val="1"/>
      <color rgb="00008000"/>
      <sz val="11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D5E8F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4" fontId="4" fillId="2" borderId="0" pivotButton="0" quotePrefix="0" xfId="0"/>
    <xf numFmtId="165" fontId="4" fillId="2" borderId="0" pivotButton="0" quotePrefix="0" xfId="0"/>
    <xf numFmtId="0" fontId="5" fillId="0" borderId="0" applyAlignment="1" pivotButton="0" quotePrefix="0" xfId="0">
      <alignment horizontal="left"/>
    </xf>
    <xf numFmtId="166" fontId="4" fillId="2" borderId="0" pivotButton="0" quotePrefix="0" xfId="0"/>
    <xf numFmtId="10" fontId="4" fillId="2" borderId="0" pivotButton="0" quotePrefix="0" xfId="0"/>
    <xf numFmtId="2" fontId="4" fillId="2" borderId="0" pivotButton="0" quotePrefix="0" xfId="0"/>
    <xf numFmtId="0" fontId="5" fillId="0" borderId="0" pivotButton="0" quotePrefix="0" xfId="0"/>
    <xf numFmtId="167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0" pivotButton="0" quotePrefix="0" xfId="0"/>
    <xf numFmtId="168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168" fontId="0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3" fontId="7" fillId="0" borderId="0" pivotButton="0" quotePrefix="0" xfId="0"/>
    <xf numFmtId="170" fontId="0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3" fontId="5" fillId="0" borderId="1" pivotButton="0" quotePrefix="0" xfId="0"/>
    <xf numFmtId="167" fontId="8" fillId="4" borderId="1" pivotButton="0" quotePrefix="0" xfId="0"/>
    <xf numFmtId="167" fontId="5" fillId="0" borderId="1" pivotButton="0" quotePrefix="0" xfId="0"/>
    <xf numFmtId="168" fontId="3" fillId="5" borderId="1" pivotButton="0" quotePrefix="0" xfId="0"/>
    <xf numFmtId="0" fontId="6" fillId="3" borderId="1" pivotButton="0" quotePrefix="0" xfId="0"/>
    <xf numFmtId="168" fontId="6" fillId="3" borderId="1" applyAlignment="1" pivotButton="0" quotePrefix="0" xfId="0">
      <alignment horizontal="center" vertical="center"/>
    </xf>
    <xf numFmtId="168" fontId="3" fillId="6" borderId="1" pivotButton="0" quotePrefix="0" xfId="0"/>
    <xf numFmtId="167" fontId="5" fillId="0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7" borderId="1" pivotButton="0" quotePrefix="0" xfId="0"/>
    <xf numFmtId="0" fontId="5" fillId="5" borderId="1" pivotButton="0" quotePrefix="0" xfId="0"/>
    <xf numFmtId="0" fontId="5" fillId="8" borderId="1" pivotButton="0" quotePrefix="0" xfId="0"/>
    <xf numFmtId="0" fontId="5" fillId="0" borderId="1" pivotButton="0" quotePrefix="0" xfId="0"/>
    <xf numFmtId="0" fontId="8" fillId="0" borderId="1" pivotButton="0" quotePrefix="0" xfId="0"/>
    <xf numFmtId="167" fontId="9" fillId="7" borderId="1" pivotButton="0" quotePrefix="0" xfId="0"/>
    <xf numFmtId="167" fontId="10" fillId="5" borderId="1" pivotButton="0" quotePrefix="0" xfId="0"/>
    <xf numFmtId="167" fontId="11" fillId="8" borderId="1" pivotButton="0" quotePrefix="0" xfId="0"/>
    <xf numFmtId="168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DCF Model — UBER (Uber Technologies)</t>
        </is>
      </c>
    </row>
    <row r="3">
      <c r="A3" s="2" t="inlineStr">
        <is>
          <t>Key Assumptions</t>
        </is>
      </c>
    </row>
    <row r="4">
      <c r="A4" s="3" t="inlineStr">
        <is>
          <t>Current Stock Price ($)</t>
        </is>
      </c>
      <c r="B4" s="4" t="n">
        <v>72.83</v>
      </c>
    </row>
    <row r="5">
      <c r="A5" s="3" t="inlineStr">
        <is>
          <t>Shares Outstanding (M)</t>
        </is>
      </c>
      <c r="B5" s="5" t="n">
        <v>2084</v>
      </c>
    </row>
    <row r="6">
      <c r="A6" s="6" t="inlineStr"/>
      <c r="B6" s="7" t="inlineStr"/>
    </row>
    <row r="7">
      <c r="A7" s="3" t="inlineStr">
        <is>
          <t>Risk-Free Rate (10Y UST)</t>
        </is>
      </c>
      <c r="B7" s="8" t="n">
        <v>0.043</v>
      </c>
    </row>
    <row r="8">
      <c r="A8" s="3" t="inlineStr">
        <is>
          <t>Equity Risk Premium</t>
        </is>
      </c>
      <c r="B8" s="8" t="n">
        <v>0.055</v>
      </c>
    </row>
    <row r="9">
      <c r="A9" s="3" t="inlineStr">
        <is>
          <t>Country Risk Premium</t>
        </is>
      </c>
      <c r="B9" s="8" t="n">
        <v>0.005</v>
      </c>
    </row>
    <row r="10">
      <c r="A10" s="3" t="inlineStr">
        <is>
          <t>Levered Beta</t>
        </is>
      </c>
      <c r="B10" s="9" t="n">
        <v>1.15</v>
      </c>
    </row>
    <row r="11">
      <c r="A11" s="3" t="inlineStr">
        <is>
          <t>Cost of Equity</t>
        </is>
      </c>
      <c r="B11" s="10">
        <f>B7+B10*(B8+B9)</f>
        <v/>
      </c>
    </row>
    <row r="12">
      <c r="A12" s="6" t="inlineStr"/>
      <c r="B12" s="7" t="inlineStr"/>
    </row>
    <row r="13">
      <c r="A13" s="3" t="inlineStr">
        <is>
          <t>Pre-Tax Cost of Debt</t>
        </is>
      </c>
      <c r="B13" s="8" t="n">
        <v>0.055</v>
      </c>
    </row>
    <row r="14">
      <c r="A14" s="3" t="inlineStr">
        <is>
          <t>Tax Rate</t>
        </is>
      </c>
      <c r="B14" s="8" t="n">
        <v>0.21</v>
      </c>
    </row>
    <row r="15">
      <c r="A15" s="3" t="inlineStr">
        <is>
          <t>After-Tax Cost of Debt</t>
        </is>
      </c>
      <c r="B15" s="10">
        <f>B13*(1-B14)</f>
        <v/>
      </c>
    </row>
    <row r="16">
      <c r="A16" s="6" t="inlineStr"/>
      <c r="B16" s="7" t="inlineStr"/>
    </row>
    <row r="17">
      <c r="A17" s="3" t="inlineStr">
        <is>
          <t>Market Cap ($M)</t>
        </is>
      </c>
      <c r="B17" s="10">
        <f>B4*B5</f>
        <v/>
      </c>
    </row>
    <row r="18">
      <c r="A18" s="3" t="inlineStr">
        <is>
          <t>Total Debt ($M)</t>
        </is>
      </c>
      <c r="B18" s="11" t="n">
        <v>9800</v>
      </c>
    </row>
    <row r="19">
      <c r="A19" s="3" t="inlineStr">
        <is>
          <t>Cash ($M)</t>
        </is>
      </c>
      <c r="B19" s="11" t="n">
        <v>7000</v>
      </c>
    </row>
    <row r="20">
      <c r="A20" s="3" t="inlineStr">
        <is>
          <t>Enterprise Value ($M)</t>
        </is>
      </c>
      <c r="B20" s="10">
        <f>B17+B18-B19</f>
        <v/>
      </c>
    </row>
    <row r="21">
      <c r="A21" s="3" t="inlineStr">
        <is>
          <t>Debt Weight</t>
        </is>
      </c>
      <c r="B21" s="10">
        <f>B18/(B17+B18)</f>
        <v/>
      </c>
    </row>
    <row r="22">
      <c r="A22" s="3" t="inlineStr">
        <is>
          <t>Equity Weight</t>
        </is>
      </c>
      <c r="B22" s="10">
        <f>B17/(B17+B18)</f>
        <v/>
      </c>
    </row>
    <row r="23">
      <c r="A23" s="3" t="inlineStr">
        <is>
          <t>WACC</t>
        </is>
      </c>
      <c r="B23" s="10">
        <f>B22*B11+B21*B15</f>
        <v/>
      </c>
    </row>
    <row r="24">
      <c r="A24" s="6" t="inlineStr"/>
      <c r="B24" s="7" t="inlineStr"/>
    </row>
    <row r="25">
      <c r="A25" s="3" t="inlineStr">
        <is>
          <t>Terminal Growth Rate (Base)</t>
        </is>
      </c>
      <c r="B25" s="12" t="n">
        <v>0.03</v>
      </c>
    </row>
    <row r="26">
      <c r="A26" s="3" t="inlineStr">
        <is>
          <t>Exit EV/EBITDA Multiple (Base)</t>
        </is>
      </c>
      <c r="B26" s="13" t="n">
        <v>20</v>
      </c>
    </row>
    <row r="28">
      <c r="A28" s="2" t="inlineStr">
        <is>
          <t>Revenue Growth Assumptions</t>
        </is>
      </c>
    </row>
    <row r="29">
      <c r="A29" s="14" t="inlineStr"/>
      <c r="B29" s="14" t="inlineStr">
        <is>
          <t>2025A</t>
        </is>
      </c>
      <c r="C29" s="14" t="inlineStr">
        <is>
          <t>2026E</t>
        </is>
      </c>
      <c r="D29" s="14" t="inlineStr">
        <is>
          <t>2027E</t>
        </is>
      </c>
      <c r="E29" s="14" t="inlineStr">
        <is>
          <t>2028E</t>
        </is>
      </c>
      <c r="F29" s="14" t="inlineStr">
        <is>
          <t>2029E</t>
        </is>
      </c>
      <c r="G29" s="14" t="inlineStr">
        <is>
          <t>2030E</t>
        </is>
      </c>
    </row>
    <row r="30">
      <c r="A30" s="15" t="inlineStr">
        <is>
          <t>Revenue Growth Rate</t>
        </is>
      </c>
      <c r="B30" s="12" t="n">
        <v>0.183</v>
      </c>
      <c r="C30" s="12" t="n">
        <v>0.17</v>
      </c>
      <c r="D30" s="12" t="n">
        <v>0.15</v>
      </c>
      <c r="E30" s="12" t="n">
        <v>0.13</v>
      </c>
      <c r="F30" s="12" t="n">
        <v>0.11</v>
      </c>
      <c r="G30" s="12" t="n">
        <v>0.1</v>
      </c>
    </row>
    <row r="31">
      <c r="A31" s="15" t="inlineStr">
        <is>
          <t>EBITDA Margin</t>
        </is>
      </c>
      <c r="B31" s="12" t="n">
        <v>0.121</v>
      </c>
      <c r="C31" s="12" t="n">
        <v>0.155</v>
      </c>
      <c r="D31" s="12" t="n">
        <v>0.175</v>
      </c>
      <c r="E31" s="12" t="n">
        <v>0.195</v>
      </c>
      <c r="F31" s="12" t="n">
        <v>0.21</v>
      </c>
      <c r="G31" s="12" t="n">
        <v>0.22</v>
      </c>
    </row>
    <row r="32">
      <c r="A32" s="15" t="inlineStr">
        <is>
          <t>Capex % of Revenue</t>
        </is>
      </c>
      <c r="B32" s="12" t="n">
        <v>0.035</v>
      </c>
      <c r="C32" s="12" t="n">
        <v>0.035</v>
      </c>
      <c r="D32" s="12" t="n">
        <v>0.03</v>
      </c>
      <c r="E32" s="12" t="n">
        <v>0.03</v>
      </c>
      <c r="F32" s="12" t="n">
        <v>0.025</v>
      </c>
      <c r="G32" s="12" t="n">
        <v>0.025</v>
      </c>
    </row>
    <row r="33">
      <c r="A33" s="15" t="inlineStr">
        <is>
          <t>D&amp;A % of Revenue</t>
        </is>
      </c>
      <c r="B33" s="16" t="n">
        <v>0.025</v>
      </c>
      <c r="C33" s="16" t="n">
        <v>0.025</v>
      </c>
      <c r="D33" s="16" t="n">
        <v>0.025</v>
      </c>
      <c r="E33" s="16" t="n">
        <v>0.025</v>
      </c>
      <c r="F33" s="16" t="n">
        <v>0.025</v>
      </c>
      <c r="G33" s="16" t="n">
        <v>0.025</v>
      </c>
    </row>
    <row r="34">
      <c r="A34" s="15" t="inlineStr">
        <is>
          <t>Change in WC % of Rev</t>
        </is>
      </c>
      <c r="B34" s="16" t="n">
        <v>0.01</v>
      </c>
      <c r="C34" s="16" t="n">
        <v>0.01</v>
      </c>
      <c r="D34" s="16" t="n">
        <v>0.01</v>
      </c>
      <c r="E34" s="16" t="n">
        <v>0.008</v>
      </c>
      <c r="F34" s="16" t="n">
        <v>0.008</v>
      </c>
      <c r="G34" s="16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Free Cash Flow Projections — UBER</t>
        </is>
      </c>
    </row>
    <row r="3">
      <c r="A3" s="14" t="inlineStr"/>
      <c r="B3" s="14" t="inlineStr">
        <is>
          <t>2025A</t>
        </is>
      </c>
      <c r="C3" s="14" t="inlineStr">
        <is>
          <t>2026E</t>
        </is>
      </c>
      <c r="D3" s="14" t="inlineStr">
        <is>
          <t>2027E</t>
        </is>
      </c>
      <c r="E3" s="14" t="inlineStr">
        <is>
          <t>2028E</t>
        </is>
      </c>
      <c r="F3" s="14" t="inlineStr">
        <is>
          <t>2029E</t>
        </is>
      </c>
      <c r="G3" s="14" t="inlineStr">
        <is>
          <t>2030E</t>
        </is>
      </c>
    </row>
    <row r="4">
      <c r="A4" s="10" t="inlineStr">
        <is>
          <t>Revenue ($M)</t>
        </is>
      </c>
      <c r="B4" s="17" t="n">
        <v>52020</v>
      </c>
      <c r="C4" s="18">
        <f>B4*(1+Assumptions!C30)</f>
        <v/>
      </c>
      <c r="D4" s="18">
        <f>C4*(1+Assumptions!D30)</f>
        <v/>
      </c>
      <c r="E4" s="18">
        <f>D4*(1+Assumptions!E30)</f>
        <v/>
      </c>
      <c r="F4" s="18">
        <f>E4*(1+Assumptions!F30)</f>
        <v/>
      </c>
      <c r="G4" s="18">
        <f>F4*(1+Assumptions!G30)</f>
        <v/>
      </c>
    </row>
    <row r="5">
      <c r="A5" s="15" t="inlineStr">
        <is>
          <t>Growth %</t>
        </is>
      </c>
      <c r="B5" s="19">
        <f>Assumptions!B30</f>
        <v/>
      </c>
      <c r="C5" s="19">
        <f>Assumptions!C30</f>
        <v/>
      </c>
      <c r="D5" s="19">
        <f>Assumptions!D30</f>
        <v/>
      </c>
      <c r="E5" s="19">
        <f>Assumptions!E30</f>
        <v/>
      </c>
      <c r="F5" s="19">
        <f>Assumptions!F30</f>
        <v/>
      </c>
      <c r="G5" s="19">
        <f>Assumptions!G30</f>
        <v/>
      </c>
    </row>
    <row r="6">
      <c r="A6" s="10" t="inlineStr"/>
    </row>
    <row r="7">
      <c r="A7" s="10" t="inlineStr">
        <is>
          <t>EBITDA ($M)</t>
        </is>
      </c>
      <c r="B7" s="17" t="n">
        <v>6310</v>
      </c>
      <c r="C7" s="18">
        <f>C4*Assumptions!C31</f>
        <v/>
      </c>
      <c r="D7" s="18">
        <f>D4*Assumptions!D31</f>
        <v/>
      </c>
      <c r="E7" s="18">
        <f>E4*Assumptions!E31</f>
        <v/>
      </c>
      <c r="F7" s="18">
        <f>F4*Assumptions!F31</f>
        <v/>
      </c>
      <c r="G7" s="18">
        <f>G4*Assumptions!G31</f>
        <v/>
      </c>
    </row>
    <row r="8">
      <c r="A8" s="15" t="inlineStr">
        <is>
          <t>EBITDA Margin</t>
        </is>
      </c>
      <c r="B8" s="19">
        <f>B7/B4</f>
        <v/>
      </c>
      <c r="C8" s="19">
        <f>C7/C4</f>
        <v/>
      </c>
      <c r="D8" s="19">
        <f>D7/D4</f>
        <v/>
      </c>
      <c r="E8" s="19">
        <f>E7/E4</f>
        <v/>
      </c>
      <c r="F8" s="19">
        <f>F7/F4</f>
        <v/>
      </c>
      <c r="G8" s="19">
        <f>G7/G4</f>
        <v/>
      </c>
    </row>
    <row r="9">
      <c r="A9" s="10" t="inlineStr">
        <is>
          <t>(-) D&amp;A ($M)</t>
        </is>
      </c>
      <c r="C9" s="18">
        <f>C4*Assumptions!C33</f>
        <v/>
      </c>
      <c r="D9" s="18">
        <f>D4*Assumptions!D33</f>
        <v/>
      </c>
      <c r="E9" s="18">
        <f>E4*Assumptions!E33</f>
        <v/>
      </c>
      <c r="F9" s="18">
        <f>F4*Assumptions!F33</f>
        <v/>
      </c>
      <c r="G9" s="18">
        <f>G4*Assumptions!G33</f>
        <v/>
      </c>
    </row>
    <row r="10">
      <c r="A10" s="10" t="inlineStr">
        <is>
          <t>EBIT ($M)</t>
        </is>
      </c>
      <c r="C10" s="18">
        <f>C7-C9</f>
        <v/>
      </c>
      <c r="D10" s="18">
        <f>D7-D9</f>
        <v/>
      </c>
      <c r="E10" s="18">
        <f>E7-E9</f>
        <v/>
      </c>
      <c r="F10" s="18">
        <f>F7-F9</f>
        <v/>
      </c>
      <c r="G10" s="18">
        <f>G7-G9</f>
        <v/>
      </c>
    </row>
    <row r="11">
      <c r="A11" s="10" t="inlineStr">
        <is>
          <t>(-) Taxes on EBIT ($M)</t>
        </is>
      </c>
      <c r="C11" s="18">
        <f>C10*Assumptions!B14</f>
        <v/>
      </c>
      <c r="D11" s="18">
        <f>D10*Assumptions!B14</f>
        <v/>
      </c>
      <c r="E11" s="18">
        <f>E10*Assumptions!B14</f>
        <v/>
      </c>
      <c r="F11" s="18">
        <f>F10*Assumptions!B14</f>
        <v/>
      </c>
      <c r="G11" s="18">
        <f>G10*Assumptions!B14</f>
        <v/>
      </c>
    </row>
    <row r="12">
      <c r="A12" s="10" t="inlineStr">
        <is>
          <t>NOPAT ($M)</t>
        </is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  <c r="G12" s="18">
        <f>G10-G11</f>
        <v/>
      </c>
    </row>
    <row r="13">
      <c r="A13" s="10" t="inlineStr"/>
    </row>
    <row r="14">
      <c r="A14" s="10" t="inlineStr">
        <is>
          <t>(-) Capex ($M)</t>
        </is>
      </c>
      <c r="C14" s="18">
        <f>C4*Assumptions!C32</f>
        <v/>
      </c>
      <c r="D14" s="18">
        <f>D4*Assumptions!D32</f>
        <v/>
      </c>
      <c r="E14" s="18">
        <f>E4*Assumptions!E32</f>
        <v/>
      </c>
      <c r="F14" s="18">
        <f>F4*Assumptions!F32</f>
        <v/>
      </c>
      <c r="G14" s="18">
        <f>G4*Assumptions!G32</f>
        <v/>
      </c>
    </row>
    <row r="15">
      <c r="A15" s="10" t="inlineStr">
        <is>
          <t>(-) Change in WC ($M)</t>
        </is>
      </c>
      <c r="C15" s="18">
        <f>C4*Assumptions!C34</f>
        <v/>
      </c>
      <c r="D15" s="18">
        <f>D4*Assumptions!D34</f>
        <v/>
      </c>
      <c r="E15" s="18">
        <f>E4*Assumptions!E34</f>
        <v/>
      </c>
      <c r="F15" s="18">
        <f>F4*Assumptions!F34</f>
        <v/>
      </c>
      <c r="G15" s="18">
        <f>G4*Assumptions!G34</f>
        <v/>
      </c>
    </row>
    <row r="16">
      <c r="A16" s="10" t="inlineStr">
        <is>
          <t>(+) D&amp;A ($M)</t>
        </is>
      </c>
      <c r="C16" s="18">
        <f>C9</f>
        <v/>
      </c>
      <c r="D16" s="18">
        <f>D9</f>
        <v/>
      </c>
      <c r="E16" s="18">
        <f>E9</f>
        <v/>
      </c>
      <c r="F16" s="18">
        <f>F9</f>
        <v/>
      </c>
      <c r="G16" s="18">
        <f>G9</f>
        <v/>
      </c>
    </row>
    <row r="17">
      <c r="A17" s="20" t="inlineStr">
        <is>
          <t>Unlevered FCF ($M)</t>
        </is>
      </c>
      <c r="B17" s="20" t="n"/>
      <c r="C17" s="21">
        <f>C12-C14-C15+C16</f>
        <v/>
      </c>
      <c r="D17" s="21">
        <f>D12-D14-D15+D16</f>
        <v/>
      </c>
      <c r="E17" s="21">
        <f>E12-E14-E15+E16</f>
        <v/>
      </c>
      <c r="F17" s="21">
        <f>F12-F14-F15+F16</f>
        <v/>
      </c>
      <c r="G17" s="21">
        <f>G12-G14-G15+G16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DCF Valuation — UBER</t>
        </is>
      </c>
    </row>
    <row r="3">
      <c r="A3" s="2" t="inlineStr">
        <is>
          <t>Present Value of Free Cash Flows</t>
        </is>
      </c>
    </row>
    <row r="4">
      <c r="A4" s="14" t="inlineStr"/>
      <c r="B4" s="14" t="inlineStr">
        <is>
          <t>2026E</t>
        </is>
      </c>
      <c r="C4" s="14" t="inlineStr">
        <is>
          <t>2027E</t>
        </is>
      </c>
      <c r="D4" s="14" t="inlineStr">
        <is>
          <t>2028E</t>
        </is>
      </c>
      <c r="E4" s="14" t="inlineStr">
        <is>
          <t>2029E</t>
        </is>
      </c>
      <c r="F4" s="14" t="inlineStr">
        <is>
          <t>2030E</t>
        </is>
      </c>
    </row>
    <row r="5">
      <c r="A5" s="15" t="inlineStr">
        <is>
          <t>UFCF ($M)</t>
        </is>
      </c>
      <c r="B5" s="22">
        <f>'FCF Projections'!C17</f>
        <v/>
      </c>
      <c r="C5" s="22">
        <f>'FCF Projections'!D17</f>
        <v/>
      </c>
      <c r="D5" s="22">
        <f>'FCF Projections'!E17</f>
        <v/>
      </c>
      <c r="E5" s="22">
        <f>'FCF Projections'!F17</f>
        <v/>
      </c>
      <c r="F5" s="22">
        <f>'FCF Projections'!G17</f>
        <v/>
      </c>
    </row>
    <row r="6">
      <c r="A6" s="10" t="inlineStr">
        <is>
          <t>Discount Factor</t>
        </is>
      </c>
      <c r="B6" s="23">
        <f>1/(1+Assumptions!B23)^1</f>
        <v/>
      </c>
      <c r="C6" s="23">
        <f>1/(1+Assumptions!B23)^2</f>
        <v/>
      </c>
      <c r="D6" s="23">
        <f>1/(1+Assumptions!B23)^3</f>
        <v/>
      </c>
      <c r="E6" s="23">
        <f>1/(1+Assumptions!B23)^4</f>
        <v/>
      </c>
      <c r="F6" s="23">
        <f>1/(1+Assumptions!B23)^5</f>
        <v/>
      </c>
    </row>
    <row r="7">
      <c r="A7" s="15" t="inlineStr">
        <is>
          <t>PV of FCF ($M)</t>
        </is>
      </c>
      <c r="B7" s="18">
        <f>B5*B6</f>
        <v/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</row>
    <row r="9">
      <c r="A9" s="15" t="inlineStr">
        <is>
          <t>Sum of PV of FCFs ($M)</t>
        </is>
      </c>
      <c r="B9" s="18">
        <f>SUM(B7:F7)</f>
        <v/>
      </c>
    </row>
    <row r="11">
      <c r="A11" s="2" t="inlineStr">
        <is>
          <t>Terminal Value</t>
        </is>
      </c>
    </row>
    <row r="12">
      <c r="A12" s="15" t="inlineStr">
        <is>
          <t>Method 1: Perpetuity Growth</t>
        </is>
      </c>
    </row>
    <row r="13">
      <c r="A13" s="10" t="inlineStr">
        <is>
          <t>Terminal FCF (2030E)</t>
        </is>
      </c>
      <c r="B13" s="22">
        <f>'FCF Projections'!G17</f>
        <v/>
      </c>
    </row>
    <row r="14">
      <c r="A14" s="10" t="inlineStr">
        <is>
          <t>Terminal Growth Rate</t>
        </is>
      </c>
      <c r="B14" s="19">
        <f>Assumptions!B25</f>
        <v/>
      </c>
    </row>
    <row r="15">
      <c r="A15" s="15" t="inlineStr">
        <is>
          <t>Terminal Value (Perpetuity)</t>
        </is>
      </c>
      <c r="B15" s="24">
        <f>B13*(1+B14)/(Assumptions!B23-B14)</f>
        <v/>
      </c>
    </row>
    <row r="16">
      <c r="A16" s="15" t="inlineStr">
        <is>
          <t>PV of Terminal Value</t>
        </is>
      </c>
      <c r="B16" s="24">
        <f>B15/(1+Assumptions!B23)^5</f>
        <v/>
      </c>
    </row>
    <row r="18">
      <c r="A18" s="15" t="inlineStr">
        <is>
          <t>Method 2: Exit Multiple</t>
        </is>
      </c>
    </row>
    <row r="19">
      <c r="A19" s="10" t="inlineStr">
        <is>
          <t>Terminal EBITDA (2030E)</t>
        </is>
      </c>
      <c r="B19" s="22">
        <f>'FCF Projections'!G7</f>
        <v/>
      </c>
    </row>
    <row r="20">
      <c r="A20" s="10" t="inlineStr">
        <is>
          <t>Exit EV/EBITDA Multiple</t>
        </is>
      </c>
      <c r="B20" s="25">
        <f>Assumptions!B26</f>
        <v/>
      </c>
    </row>
    <row r="21">
      <c r="A21" s="15" t="inlineStr">
        <is>
          <t>Terminal Value (Exit Multiple)</t>
        </is>
      </c>
      <c r="B21" s="24">
        <f>B19*B20</f>
        <v/>
      </c>
    </row>
    <row r="22">
      <c r="A22" s="15" t="inlineStr">
        <is>
          <t>PV of Terminal Value</t>
        </is>
      </c>
      <c r="B22" s="24">
        <f>B21/(1+Assumptions!B23)^5</f>
        <v/>
      </c>
    </row>
    <row r="24">
      <c r="A24" s="2" t="inlineStr">
        <is>
          <t>Implied Valuation</t>
        </is>
      </c>
    </row>
    <row r="25">
      <c r="A25" s="14" t="inlineStr"/>
      <c r="B25" s="14" t="inlineStr">
        <is>
          <t>Perpetuity Method</t>
        </is>
      </c>
      <c r="C25" s="14" t="inlineStr">
        <is>
          <t>Exit Multiple Method</t>
        </is>
      </c>
      <c r="D25" s="14" t="inlineStr">
        <is>
          <t>Blended (50/50)</t>
        </is>
      </c>
    </row>
    <row r="26">
      <c r="A26" s="10" t="inlineStr">
        <is>
          <t>Sum of PV of FCFs</t>
        </is>
      </c>
      <c r="B26" s="26">
        <f>B9</f>
        <v/>
      </c>
      <c r="C26" s="26">
        <f>B9</f>
        <v/>
      </c>
      <c r="D26" s="26">
        <f>B9</f>
        <v/>
      </c>
    </row>
    <row r="27">
      <c r="A27" s="15" t="inlineStr">
        <is>
          <t>PV of Terminal Value</t>
        </is>
      </c>
      <c r="B27" s="26">
        <f>B16</f>
        <v/>
      </c>
      <c r="C27" s="26">
        <f>B22</f>
        <v/>
      </c>
      <c r="D27" s="26">
        <f>(B16+B22)/2</f>
        <v/>
      </c>
    </row>
    <row r="28">
      <c r="A28" s="15" t="inlineStr">
        <is>
          <t>Enterprise Value ($M)</t>
        </is>
      </c>
      <c r="B28" s="26">
        <f>B26+B27</f>
        <v/>
      </c>
      <c r="C28" s="26">
        <f>C26+C27</f>
        <v/>
      </c>
      <c r="D28" s="26">
        <f>D26+D27</f>
        <v/>
      </c>
    </row>
    <row r="29">
      <c r="A29" s="10" t="inlineStr">
        <is>
          <t>(-) Net Debt ($M)</t>
        </is>
      </c>
      <c r="B29" s="26">
        <f>Assumptions!B18-Assumptions!B19</f>
        <v/>
      </c>
      <c r="C29" s="26">
        <f>Assumptions!B18-Assumptions!B19</f>
        <v/>
      </c>
      <c r="D29" s="26">
        <f>Assumptions!B18-Assumptions!B19</f>
        <v/>
      </c>
    </row>
    <row r="30">
      <c r="A30" s="15" t="inlineStr">
        <is>
          <t>Equity Value ($M)</t>
        </is>
      </c>
      <c r="B30" s="26">
        <f>B28-B29</f>
        <v/>
      </c>
      <c r="C30" s="26">
        <f>C28-C29</f>
        <v/>
      </c>
      <c r="D30" s="26">
        <f>D28-D29</f>
        <v/>
      </c>
    </row>
    <row r="31">
      <c r="A31" s="10" t="inlineStr">
        <is>
          <t>Shares Outstanding (M)</t>
        </is>
      </c>
      <c r="B31" s="26">
        <f>Assumptions!B5</f>
        <v/>
      </c>
      <c r="C31" s="26">
        <f>Assumptions!B5</f>
        <v/>
      </c>
      <c r="D31" s="26">
        <f>Assumptions!B5</f>
        <v/>
      </c>
    </row>
    <row r="32">
      <c r="A32" s="15" t="inlineStr">
        <is>
          <t>Implied Price per Share ($)</t>
        </is>
      </c>
      <c r="B32" s="27">
        <f>B30/B31</f>
        <v/>
      </c>
      <c r="C32" s="27">
        <f>C30/C31</f>
        <v/>
      </c>
      <c r="D32" s="27">
        <f>D30/D31</f>
        <v/>
      </c>
    </row>
    <row r="33">
      <c r="A33" s="15" t="inlineStr">
        <is>
          <t>Current Price ($)</t>
        </is>
      </c>
      <c r="B33" s="28">
        <f>Assumptions!B4</f>
        <v/>
      </c>
      <c r="C33" s="28">
        <f>Assumptions!B4</f>
        <v/>
      </c>
      <c r="D33" s="28">
        <f>Assumptions!B4</f>
        <v/>
      </c>
    </row>
    <row r="34">
      <c r="A34" s="15" t="inlineStr">
        <is>
          <t>Upside / (Downside)</t>
        </is>
      </c>
      <c r="B34" s="29">
        <f>(B32-B33)/B33</f>
        <v/>
      </c>
      <c r="C34" s="29">
        <f>(C32-C33)/C33</f>
        <v/>
      </c>
      <c r="D34" s="29">
        <f>(D32-D33)/D33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 Analysis</t>
        </is>
      </c>
    </row>
    <row r="3">
      <c r="A3" s="2" t="inlineStr">
        <is>
          <t>Implied Price: WACC vs Terminal Growth Rate (Perpetuity)</t>
        </is>
      </c>
    </row>
    <row r="4">
      <c r="A4" s="30" t="inlineStr">
        <is>
          <t>WACC \ TGR</t>
        </is>
      </c>
      <c r="B4" s="31" t="n">
        <v>0.02</v>
      </c>
      <c r="C4" s="31" t="n">
        <v>0.025</v>
      </c>
      <c r="D4" s="31" t="n">
        <v>0.03</v>
      </c>
      <c r="E4" s="31" t="n">
        <v>0.035</v>
      </c>
      <c r="F4" s="31" t="n">
        <v>0.04</v>
      </c>
    </row>
    <row r="5">
      <c r="A5" s="32" t="n">
        <v>0.07000000000000001</v>
      </c>
      <c r="B5" s="33">
        <f>('FCF Projections'!C17/(1+$A5)^1+'FCF Projections'!D17/(1+$A5)^2+'FCF Projections'!E17/(1+$A5)^3+'FCF Projections'!F17/(1+$A5)^4+'FCF Projections'!G17/(1+$A5)^5+('FCF Projections'!G17*(1+B$4))/($A5-B$4)/(1+$A5)^5-(Assumptions!B18-Assumptions!B19))/Assumptions!B5</f>
        <v/>
      </c>
      <c r="C5" s="33">
        <f>('FCF Projections'!C17/(1+$A5)^1+'FCF Projections'!D17/(1+$A5)^2+'FCF Projections'!E17/(1+$A5)^3+'FCF Projections'!F17/(1+$A5)^4+'FCF Projections'!G17/(1+$A5)^5+('FCF Projections'!G17*(1+C$4))/($A5-C$4)/(1+$A5)^5-(Assumptions!B18-Assumptions!B19))/Assumptions!B5</f>
        <v/>
      </c>
      <c r="D5" s="33">
        <f>('FCF Projections'!C17/(1+$A5)^1+'FCF Projections'!D17/(1+$A5)^2+'FCF Projections'!E17/(1+$A5)^3+'FCF Projections'!F17/(1+$A5)^4+'FCF Projections'!G17/(1+$A5)^5+('FCF Projections'!G17*(1+D$4))/($A5-D$4)/(1+$A5)^5-(Assumptions!B18-Assumptions!B19))/Assumptions!B5</f>
        <v/>
      </c>
      <c r="E5" s="33">
        <f>('FCF Projections'!C17/(1+$A5)^1+'FCF Projections'!D17/(1+$A5)^2+'FCF Projections'!E17/(1+$A5)^3+'FCF Projections'!F17/(1+$A5)^4+'FCF Projections'!G17/(1+$A5)^5+('FCF Projections'!G17*(1+E$4))/($A5-E$4)/(1+$A5)^5-(Assumptions!B18-Assumptions!B19))/Assumptions!B5</f>
        <v/>
      </c>
      <c r="F5" s="33">
        <f>('FCF Projections'!C17/(1+$A5)^1+'FCF Projections'!D17/(1+$A5)^2+'FCF Projections'!E17/(1+$A5)^3+'FCF Projections'!F17/(1+$A5)^4+'FCF Projections'!G17/(1+$A5)^5+('FCF Projections'!G17*(1+F$4))/($A5-F$4)/(1+$A5)^5-(Assumptions!B18-Assumptions!B19))/Assumptions!B5</f>
        <v/>
      </c>
    </row>
    <row r="6">
      <c r="A6" s="32" t="n">
        <v>0.08</v>
      </c>
      <c r="B6" s="33">
        <f>('FCF Projections'!C17/(1+$A6)^1+'FCF Projections'!D17/(1+$A6)^2+'FCF Projections'!E17/(1+$A6)^3+'FCF Projections'!F17/(1+$A6)^4+'FCF Projections'!G17/(1+$A6)^5+('FCF Projections'!G17*(1+B$4))/($A6-B$4)/(1+$A6)^5-(Assumptions!B18-Assumptions!B19))/Assumptions!B5</f>
        <v/>
      </c>
      <c r="C6" s="33">
        <f>('FCF Projections'!C17/(1+$A6)^1+'FCF Projections'!D17/(1+$A6)^2+'FCF Projections'!E17/(1+$A6)^3+'FCF Projections'!F17/(1+$A6)^4+'FCF Projections'!G17/(1+$A6)^5+('FCF Projections'!G17*(1+C$4))/($A6-C$4)/(1+$A6)^5-(Assumptions!B18-Assumptions!B19))/Assumptions!B5</f>
        <v/>
      </c>
      <c r="D6" s="33">
        <f>('FCF Projections'!C17/(1+$A6)^1+'FCF Projections'!D17/(1+$A6)^2+'FCF Projections'!E17/(1+$A6)^3+'FCF Projections'!F17/(1+$A6)^4+'FCF Projections'!G17/(1+$A6)^5+('FCF Projections'!G17*(1+D$4))/($A6-D$4)/(1+$A6)^5-(Assumptions!B18-Assumptions!B19))/Assumptions!B5</f>
        <v/>
      </c>
      <c r="E6" s="33">
        <f>('FCF Projections'!C17/(1+$A6)^1+'FCF Projections'!D17/(1+$A6)^2+'FCF Projections'!E17/(1+$A6)^3+'FCF Projections'!F17/(1+$A6)^4+'FCF Projections'!G17/(1+$A6)^5+('FCF Projections'!G17*(1+E$4))/($A6-E$4)/(1+$A6)^5-(Assumptions!B18-Assumptions!B19))/Assumptions!B5</f>
        <v/>
      </c>
      <c r="F6" s="33">
        <f>('FCF Projections'!C17/(1+$A6)^1+'FCF Projections'!D17/(1+$A6)^2+'FCF Projections'!E17/(1+$A6)^3+'FCF Projections'!F17/(1+$A6)^4+'FCF Projections'!G17/(1+$A6)^5+('FCF Projections'!G17*(1+F$4))/($A6-F$4)/(1+$A6)^5-(Assumptions!B18-Assumptions!B19))/Assumptions!B5</f>
        <v/>
      </c>
    </row>
    <row r="7">
      <c r="A7" s="32" t="n">
        <v>0.09</v>
      </c>
      <c r="B7" s="33">
        <f>('FCF Projections'!C17/(1+$A7)^1+'FCF Projections'!D17/(1+$A7)^2+'FCF Projections'!E17/(1+$A7)^3+'FCF Projections'!F17/(1+$A7)^4+'FCF Projections'!G17/(1+$A7)^5+('FCF Projections'!G17*(1+B$4))/($A7-B$4)/(1+$A7)^5-(Assumptions!B18-Assumptions!B19))/Assumptions!B5</f>
        <v/>
      </c>
      <c r="C7" s="33">
        <f>('FCF Projections'!C17/(1+$A7)^1+'FCF Projections'!D17/(1+$A7)^2+'FCF Projections'!E17/(1+$A7)^3+'FCF Projections'!F17/(1+$A7)^4+'FCF Projections'!G17/(1+$A7)^5+('FCF Projections'!G17*(1+C$4))/($A7-C$4)/(1+$A7)^5-(Assumptions!B18-Assumptions!B19))/Assumptions!B5</f>
        <v/>
      </c>
      <c r="D7" s="33">
        <f>('FCF Projections'!C17/(1+$A7)^1+'FCF Projections'!D17/(1+$A7)^2+'FCF Projections'!E17/(1+$A7)^3+'FCF Projections'!F17/(1+$A7)^4+'FCF Projections'!G17/(1+$A7)^5+('FCF Projections'!G17*(1+D$4))/($A7-D$4)/(1+$A7)^5-(Assumptions!B18-Assumptions!B19))/Assumptions!B5</f>
        <v/>
      </c>
      <c r="E7" s="33">
        <f>('FCF Projections'!C17/(1+$A7)^1+'FCF Projections'!D17/(1+$A7)^2+'FCF Projections'!E17/(1+$A7)^3+'FCF Projections'!F17/(1+$A7)^4+'FCF Projections'!G17/(1+$A7)^5+('FCF Projections'!G17*(1+E$4))/($A7-E$4)/(1+$A7)^5-(Assumptions!B18-Assumptions!B19))/Assumptions!B5</f>
        <v/>
      </c>
      <c r="F7" s="33">
        <f>('FCF Projections'!C17/(1+$A7)^1+'FCF Projections'!D17/(1+$A7)^2+'FCF Projections'!E17/(1+$A7)^3+'FCF Projections'!F17/(1+$A7)^4+'FCF Projections'!G17/(1+$A7)^5+('FCF Projections'!G17*(1+F$4))/($A7-F$4)/(1+$A7)^5-(Assumptions!B18-Assumptions!B19))/Assumptions!B5</f>
        <v/>
      </c>
    </row>
    <row r="8">
      <c r="A8" s="32" t="n">
        <v>0.1</v>
      </c>
      <c r="B8" s="33">
        <f>('FCF Projections'!C17/(1+$A8)^1+'FCF Projections'!D17/(1+$A8)^2+'FCF Projections'!E17/(1+$A8)^3+'FCF Projections'!F17/(1+$A8)^4+'FCF Projections'!G17/(1+$A8)^5+('FCF Projections'!G17*(1+B$4))/($A8-B$4)/(1+$A8)^5-(Assumptions!B18-Assumptions!B19))/Assumptions!B5</f>
        <v/>
      </c>
      <c r="C8" s="33">
        <f>('FCF Projections'!C17/(1+$A8)^1+'FCF Projections'!D17/(1+$A8)^2+'FCF Projections'!E17/(1+$A8)^3+'FCF Projections'!F17/(1+$A8)^4+'FCF Projections'!G17/(1+$A8)^5+('FCF Projections'!G17*(1+C$4))/($A8-C$4)/(1+$A8)^5-(Assumptions!B18-Assumptions!B19))/Assumptions!B5</f>
        <v/>
      </c>
      <c r="D8" s="33">
        <f>('FCF Projections'!C17/(1+$A8)^1+'FCF Projections'!D17/(1+$A8)^2+'FCF Projections'!E17/(1+$A8)^3+'FCF Projections'!F17/(1+$A8)^4+'FCF Projections'!G17/(1+$A8)^5+('FCF Projections'!G17*(1+D$4))/($A8-D$4)/(1+$A8)^5-(Assumptions!B18-Assumptions!B19))/Assumptions!B5</f>
        <v/>
      </c>
      <c r="E8" s="33">
        <f>('FCF Projections'!C17/(1+$A8)^1+'FCF Projections'!D17/(1+$A8)^2+'FCF Projections'!E17/(1+$A8)^3+'FCF Projections'!F17/(1+$A8)^4+'FCF Projections'!G17/(1+$A8)^5+('FCF Projections'!G17*(1+E$4))/($A8-E$4)/(1+$A8)^5-(Assumptions!B18-Assumptions!B19))/Assumptions!B5</f>
        <v/>
      </c>
      <c r="F8" s="33">
        <f>('FCF Projections'!C17/(1+$A8)^1+'FCF Projections'!D17/(1+$A8)^2+'FCF Projections'!E17/(1+$A8)^3+'FCF Projections'!F17/(1+$A8)^4+'FCF Projections'!G17/(1+$A8)^5+('FCF Projections'!G17*(1+F$4))/($A8-F$4)/(1+$A8)^5-(Assumptions!B18-Assumptions!B19))/Assumptions!B5</f>
        <v/>
      </c>
    </row>
    <row r="9">
      <c r="A9" s="32" t="n">
        <v>0.11</v>
      </c>
      <c r="B9" s="33">
        <f>('FCF Projections'!C17/(1+$A9)^1+'FCF Projections'!D17/(1+$A9)^2+'FCF Projections'!E17/(1+$A9)^3+'FCF Projections'!F17/(1+$A9)^4+'FCF Projections'!G17/(1+$A9)^5+('FCF Projections'!G17*(1+B$4))/($A9-B$4)/(1+$A9)^5-(Assumptions!B18-Assumptions!B19))/Assumptions!B5</f>
        <v/>
      </c>
      <c r="C9" s="33">
        <f>('FCF Projections'!C17/(1+$A9)^1+'FCF Projections'!D17/(1+$A9)^2+'FCF Projections'!E17/(1+$A9)^3+'FCF Projections'!F17/(1+$A9)^4+'FCF Projections'!G17/(1+$A9)^5+('FCF Projections'!G17*(1+C$4))/($A9-C$4)/(1+$A9)^5-(Assumptions!B18-Assumptions!B19))/Assumptions!B5</f>
        <v/>
      </c>
      <c r="D9" s="33">
        <f>('FCF Projections'!C17/(1+$A9)^1+'FCF Projections'!D17/(1+$A9)^2+'FCF Projections'!E17/(1+$A9)^3+'FCF Projections'!F17/(1+$A9)^4+'FCF Projections'!G17/(1+$A9)^5+('FCF Projections'!G17*(1+D$4))/($A9-D$4)/(1+$A9)^5-(Assumptions!B18-Assumptions!B19))/Assumptions!B5</f>
        <v/>
      </c>
      <c r="E9" s="33">
        <f>('FCF Projections'!C17/(1+$A9)^1+'FCF Projections'!D17/(1+$A9)^2+'FCF Projections'!E17/(1+$A9)^3+'FCF Projections'!F17/(1+$A9)^4+'FCF Projections'!G17/(1+$A9)^5+('FCF Projections'!G17*(1+E$4))/($A9-E$4)/(1+$A9)^5-(Assumptions!B18-Assumptions!B19))/Assumptions!B5</f>
        <v/>
      </c>
      <c r="F9" s="33">
        <f>('FCF Projections'!C17/(1+$A9)^1+'FCF Projections'!D17/(1+$A9)^2+'FCF Projections'!E17/(1+$A9)^3+'FCF Projections'!F17/(1+$A9)^4+'FCF Projections'!G17/(1+$A9)^5+('FCF Projections'!G17*(1+F$4))/($A9-F$4)/(1+$A9)^5-(Assumptions!B18-Assumptions!B19))/Assumptions!B5</f>
        <v/>
      </c>
    </row>
    <row r="10">
      <c r="A10" s="32" t="n">
        <v>0.12</v>
      </c>
      <c r="B10" s="33">
        <f>('FCF Projections'!C17/(1+$A10)^1+'FCF Projections'!D17/(1+$A10)^2+'FCF Projections'!E17/(1+$A10)^3+'FCF Projections'!F17/(1+$A10)^4+'FCF Projections'!G17/(1+$A10)^5+('FCF Projections'!G17*(1+B$4))/($A10-B$4)/(1+$A10)^5-(Assumptions!B18-Assumptions!B19))/Assumptions!B5</f>
        <v/>
      </c>
      <c r="C10" s="33">
        <f>('FCF Projections'!C17/(1+$A10)^1+'FCF Projections'!D17/(1+$A10)^2+'FCF Projections'!E17/(1+$A10)^3+'FCF Projections'!F17/(1+$A10)^4+'FCF Projections'!G17/(1+$A10)^5+('FCF Projections'!G17*(1+C$4))/($A10-C$4)/(1+$A10)^5-(Assumptions!B18-Assumptions!B19))/Assumptions!B5</f>
        <v/>
      </c>
      <c r="D10" s="33">
        <f>('FCF Projections'!C17/(1+$A10)^1+'FCF Projections'!D17/(1+$A10)^2+'FCF Projections'!E17/(1+$A10)^3+'FCF Projections'!F17/(1+$A10)^4+'FCF Projections'!G17/(1+$A10)^5+('FCF Projections'!G17*(1+D$4))/($A10-D$4)/(1+$A10)^5-(Assumptions!B18-Assumptions!B19))/Assumptions!B5</f>
        <v/>
      </c>
      <c r="E10" s="33">
        <f>('FCF Projections'!C17/(1+$A10)^1+'FCF Projections'!D17/(1+$A10)^2+'FCF Projections'!E17/(1+$A10)^3+'FCF Projections'!F17/(1+$A10)^4+'FCF Projections'!G17/(1+$A10)^5+('FCF Projections'!G17*(1+E$4))/($A10-E$4)/(1+$A10)^5-(Assumptions!B18-Assumptions!B19))/Assumptions!B5</f>
        <v/>
      </c>
      <c r="F10" s="33">
        <f>('FCF Projections'!C17/(1+$A10)^1+'FCF Projections'!D17/(1+$A10)^2+'FCF Projections'!E17/(1+$A10)^3+'FCF Projections'!F17/(1+$A10)^4+'FCF Projections'!G17/(1+$A10)^5+('FCF Projections'!G17*(1+F$4))/($A10-F$4)/(1+$A10)^5-(Assumptions!B18-Assumptions!B19))/Assumptions!B5</f>
        <v/>
      </c>
    </row>
    <row r="13">
      <c r="A13" s="2" t="inlineStr">
        <is>
          <t>Implied Price: WACC vs Exit EV/EBITDA Multiple</t>
        </is>
      </c>
    </row>
    <row r="14">
      <c r="A14" s="30" t="inlineStr">
        <is>
          <t>WACC \ Exit Mult</t>
        </is>
      </c>
      <c r="B14" s="34" t="n">
        <v>16</v>
      </c>
      <c r="C14" s="34" t="n">
        <v>18</v>
      </c>
      <c r="D14" s="34" t="n">
        <v>20</v>
      </c>
      <c r="E14" s="34" t="n">
        <v>22</v>
      </c>
      <c r="F14" s="34" t="n">
        <v>24</v>
      </c>
    </row>
    <row r="15">
      <c r="A15" s="32" t="n">
        <v>0.07000000000000001</v>
      </c>
      <c r="B15" s="33">
        <f>('FCF Projections'!C17/(1+$A15)^1+'FCF Projections'!D17/(1+$A15)^2+'FCF Projections'!E17/(1+$A15)^3+'FCF Projections'!F17/(1+$A15)^4+'FCF Projections'!G17/(1+$A15)^5+('FCF Projections'!G7*B$14)/(1+$A15)^5-(Assumptions!B18-Assumptions!B19))/Assumptions!B5</f>
        <v/>
      </c>
      <c r="C15" s="33">
        <f>('FCF Projections'!C17/(1+$A15)^1+'FCF Projections'!D17/(1+$A15)^2+'FCF Projections'!E17/(1+$A15)^3+'FCF Projections'!F17/(1+$A15)^4+'FCF Projections'!G17/(1+$A15)^5+('FCF Projections'!G7*C$14)/(1+$A15)^5-(Assumptions!B18-Assumptions!B19))/Assumptions!B5</f>
        <v/>
      </c>
      <c r="D15" s="33">
        <f>('FCF Projections'!C17/(1+$A15)^1+'FCF Projections'!D17/(1+$A15)^2+'FCF Projections'!E17/(1+$A15)^3+'FCF Projections'!F17/(1+$A15)^4+'FCF Projections'!G17/(1+$A15)^5+('FCF Projections'!G7*D$14)/(1+$A15)^5-(Assumptions!B18-Assumptions!B19))/Assumptions!B5</f>
        <v/>
      </c>
      <c r="E15" s="33">
        <f>('FCF Projections'!C17/(1+$A15)^1+'FCF Projections'!D17/(1+$A15)^2+'FCF Projections'!E17/(1+$A15)^3+'FCF Projections'!F17/(1+$A15)^4+'FCF Projections'!G17/(1+$A15)^5+('FCF Projections'!G7*E$14)/(1+$A15)^5-(Assumptions!B18-Assumptions!B19))/Assumptions!B5</f>
        <v/>
      </c>
      <c r="F15" s="33">
        <f>('FCF Projections'!C17/(1+$A15)^1+'FCF Projections'!D17/(1+$A15)^2+'FCF Projections'!E17/(1+$A15)^3+'FCF Projections'!F17/(1+$A15)^4+'FCF Projections'!G17/(1+$A15)^5+('FCF Projections'!G7*F$14)/(1+$A15)^5-(Assumptions!B18-Assumptions!B19))/Assumptions!B5</f>
        <v/>
      </c>
    </row>
    <row r="16">
      <c r="A16" s="32" t="n">
        <v>0.08</v>
      </c>
      <c r="B16" s="33">
        <f>('FCF Projections'!C17/(1+$A16)^1+'FCF Projections'!D17/(1+$A16)^2+'FCF Projections'!E17/(1+$A16)^3+'FCF Projections'!F17/(1+$A16)^4+'FCF Projections'!G17/(1+$A16)^5+('FCF Projections'!G7*B$14)/(1+$A16)^5-(Assumptions!B18-Assumptions!B19))/Assumptions!B5</f>
        <v/>
      </c>
      <c r="C16" s="33">
        <f>('FCF Projections'!C17/(1+$A16)^1+'FCF Projections'!D17/(1+$A16)^2+'FCF Projections'!E17/(1+$A16)^3+'FCF Projections'!F17/(1+$A16)^4+'FCF Projections'!G17/(1+$A16)^5+('FCF Projections'!G7*C$14)/(1+$A16)^5-(Assumptions!B18-Assumptions!B19))/Assumptions!B5</f>
        <v/>
      </c>
      <c r="D16" s="33">
        <f>('FCF Projections'!C17/(1+$A16)^1+'FCF Projections'!D17/(1+$A16)^2+'FCF Projections'!E17/(1+$A16)^3+'FCF Projections'!F17/(1+$A16)^4+'FCF Projections'!G17/(1+$A16)^5+('FCF Projections'!G7*D$14)/(1+$A16)^5-(Assumptions!B18-Assumptions!B19))/Assumptions!B5</f>
        <v/>
      </c>
      <c r="E16" s="33">
        <f>('FCF Projections'!C17/(1+$A16)^1+'FCF Projections'!D17/(1+$A16)^2+'FCF Projections'!E17/(1+$A16)^3+'FCF Projections'!F17/(1+$A16)^4+'FCF Projections'!G17/(1+$A16)^5+('FCF Projections'!G7*E$14)/(1+$A16)^5-(Assumptions!B18-Assumptions!B19))/Assumptions!B5</f>
        <v/>
      </c>
      <c r="F16" s="33">
        <f>('FCF Projections'!C17/(1+$A16)^1+'FCF Projections'!D17/(1+$A16)^2+'FCF Projections'!E17/(1+$A16)^3+'FCF Projections'!F17/(1+$A16)^4+'FCF Projections'!G17/(1+$A16)^5+('FCF Projections'!G7*F$14)/(1+$A16)^5-(Assumptions!B18-Assumptions!B19))/Assumptions!B5</f>
        <v/>
      </c>
    </row>
    <row r="17">
      <c r="A17" s="32" t="n">
        <v>0.09</v>
      </c>
      <c r="B17" s="33">
        <f>('FCF Projections'!C17/(1+$A17)^1+'FCF Projections'!D17/(1+$A17)^2+'FCF Projections'!E17/(1+$A17)^3+'FCF Projections'!F17/(1+$A17)^4+'FCF Projections'!G17/(1+$A17)^5+('FCF Projections'!G7*B$14)/(1+$A17)^5-(Assumptions!B18-Assumptions!B19))/Assumptions!B5</f>
        <v/>
      </c>
      <c r="C17" s="33">
        <f>('FCF Projections'!C17/(1+$A17)^1+'FCF Projections'!D17/(1+$A17)^2+'FCF Projections'!E17/(1+$A17)^3+'FCF Projections'!F17/(1+$A17)^4+'FCF Projections'!G17/(1+$A17)^5+('FCF Projections'!G7*C$14)/(1+$A17)^5-(Assumptions!B18-Assumptions!B19))/Assumptions!B5</f>
        <v/>
      </c>
      <c r="D17" s="33">
        <f>('FCF Projections'!C17/(1+$A17)^1+'FCF Projections'!D17/(1+$A17)^2+'FCF Projections'!E17/(1+$A17)^3+'FCF Projections'!F17/(1+$A17)^4+'FCF Projections'!G17/(1+$A17)^5+('FCF Projections'!G7*D$14)/(1+$A17)^5-(Assumptions!B18-Assumptions!B19))/Assumptions!B5</f>
        <v/>
      </c>
      <c r="E17" s="33">
        <f>('FCF Projections'!C17/(1+$A17)^1+'FCF Projections'!D17/(1+$A17)^2+'FCF Projections'!E17/(1+$A17)^3+'FCF Projections'!F17/(1+$A17)^4+'FCF Projections'!G17/(1+$A17)^5+('FCF Projections'!G7*E$14)/(1+$A17)^5-(Assumptions!B18-Assumptions!B19))/Assumptions!B5</f>
        <v/>
      </c>
      <c r="F17" s="33">
        <f>('FCF Projections'!C17/(1+$A17)^1+'FCF Projections'!D17/(1+$A17)^2+'FCF Projections'!E17/(1+$A17)^3+'FCF Projections'!F17/(1+$A17)^4+'FCF Projections'!G17/(1+$A17)^5+('FCF Projections'!G7*F$14)/(1+$A17)^5-(Assumptions!B18-Assumptions!B19))/Assumptions!B5</f>
        <v/>
      </c>
    </row>
    <row r="18">
      <c r="A18" s="32" t="n">
        <v>0.1</v>
      </c>
      <c r="B18" s="33">
        <f>('FCF Projections'!C17/(1+$A18)^1+'FCF Projections'!D17/(1+$A18)^2+'FCF Projections'!E17/(1+$A18)^3+'FCF Projections'!F17/(1+$A18)^4+'FCF Projections'!G17/(1+$A18)^5+('FCF Projections'!G7*B$14)/(1+$A18)^5-(Assumptions!B18-Assumptions!B19))/Assumptions!B5</f>
        <v/>
      </c>
      <c r="C18" s="33">
        <f>('FCF Projections'!C17/(1+$A18)^1+'FCF Projections'!D17/(1+$A18)^2+'FCF Projections'!E17/(1+$A18)^3+'FCF Projections'!F17/(1+$A18)^4+'FCF Projections'!G17/(1+$A18)^5+('FCF Projections'!G7*C$14)/(1+$A18)^5-(Assumptions!B18-Assumptions!B19))/Assumptions!B5</f>
        <v/>
      </c>
      <c r="D18" s="33">
        <f>('FCF Projections'!C17/(1+$A18)^1+'FCF Projections'!D17/(1+$A18)^2+'FCF Projections'!E17/(1+$A18)^3+'FCF Projections'!F17/(1+$A18)^4+'FCF Projections'!G17/(1+$A18)^5+('FCF Projections'!G7*D$14)/(1+$A18)^5-(Assumptions!B18-Assumptions!B19))/Assumptions!B5</f>
        <v/>
      </c>
      <c r="E18" s="33">
        <f>('FCF Projections'!C17/(1+$A18)^1+'FCF Projections'!D17/(1+$A18)^2+'FCF Projections'!E17/(1+$A18)^3+'FCF Projections'!F17/(1+$A18)^4+'FCF Projections'!G17/(1+$A18)^5+('FCF Projections'!G7*E$14)/(1+$A18)^5-(Assumptions!B18-Assumptions!B19))/Assumptions!B5</f>
        <v/>
      </c>
      <c r="F18" s="33">
        <f>('FCF Projections'!C17/(1+$A18)^1+'FCF Projections'!D17/(1+$A18)^2+'FCF Projections'!E17/(1+$A18)^3+'FCF Projections'!F17/(1+$A18)^4+'FCF Projections'!G17/(1+$A18)^5+('FCF Projections'!G7*F$14)/(1+$A18)^5-(Assumptions!B18-Assumptions!B19))/Assumptions!B5</f>
        <v/>
      </c>
    </row>
    <row r="19">
      <c r="A19" s="32" t="n">
        <v>0.11</v>
      </c>
      <c r="B19" s="33">
        <f>('FCF Projections'!C17/(1+$A19)^1+'FCF Projections'!D17/(1+$A19)^2+'FCF Projections'!E17/(1+$A19)^3+'FCF Projections'!F17/(1+$A19)^4+'FCF Projections'!G17/(1+$A19)^5+('FCF Projections'!G7*B$14)/(1+$A19)^5-(Assumptions!B18-Assumptions!B19))/Assumptions!B5</f>
        <v/>
      </c>
      <c r="C19" s="33">
        <f>('FCF Projections'!C17/(1+$A19)^1+'FCF Projections'!D17/(1+$A19)^2+'FCF Projections'!E17/(1+$A19)^3+'FCF Projections'!F17/(1+$A19)^4+'FCF Projections'!G17/(1+$A19)^5+('FCF Projections'!G7*C$14)/(1+$A19)^5-(Assumptions!B18-Assumptions!B19))/Assumptions!B5</f>
        <v/>
      </c>
      <c r="D19" s="33">
        <f>('FCF Projections'!C17/(1+$A19)^1+'FCF Projections'!D17/(1+$A19)^2+'FCF Projections'!E17/(1+$A19)^3+'FCF Projections'!F17/(1+$A19)^4+'FCF Projections'!G17/(1+$A19)^5+('FCF Projections'!G7*D$14)/(1+$A19)^5-(Assumptions!B18-Assumptions!B19))/Assumptions!B5</f>
        <v/>
      </c>
      <c r="E19" s="33">
        <f>('FCF Projections'!C17/(1+$A19)^1+'FCF Projections'!D17/(1+$A19)^2+'FCF Projections'!E17/(1+$A19)^3+'FCF Projections'!F17/(1+$A19)^4+'FCF Projections'!G17/(1+$A19)^5+('FCF Projections'!G7*E$14)/(1+$A19)^5-(Assumptions!B18-Assumptions!B19))/Assumptions!B5</f>
        <v/>
      </c>
      <c r="F19" s="33">
        <f>('FCF Projections'!C17/(1+$A19)^1+'FCF Projections'!D17/(1+$A19)^2+'FCF Projections'!E17/(1+$A19)^3+'FCF Projections'!F17/(1+$A19)^4+'FCF Projections'!G17/(1+$A19)^5+('FCF Projections'!G7*F$14)/(1+$A19)^5-(Assumptions!B18-Assumptions!B19))/Assumptions!B5</f>
        <v/>
      </c>
    </row>
    <row r="20">
      <c r="A20" s="32" t="n">
        <v>0.12</v>
      </c>
      <c r="B20" s="33">
        <f>('FCF Projections'!C17/(1+$A20)^1+'FCF Projections'!D17/(1+$A20)^2+'FCF Projections'!E17/(1+$A20)^3+'FCF Projections'!F17/(1+$A20)^4+'FCF Projections'!G17/(1+$A20)^5+('FCF Projections'!G7*B$14)/(1+$A20)^5-(Assumptions!B18-Assumptions!B19))/Assumptions!B5</f>
        <v/>
      </c>
      <c r="C20" s="33">
        <f>('FCF Projections'!C17/(1+$A20)^1+'FCF Projections'!D17/(1+$A20)^2+'FCF Projections'!E17/(1+$A20)^3+'FCF Projections'!F17/(1+$A20)^4+'FCF Projections'!G17/(1+$A20)^5+('FCF Projections'!G7*C$14)/(1+$A20)^5-(Assumptions!B18-Assumptions!B19))/Assumptions!B5</f>
        <v/>
      </c>
      <c r="D20" s="33">
        <f>('FCF Projections'!C17/(1+$A20)^1+'FCF Projections'!D17/(1+$A20)^2+'FCF Projections'!E17/(1+$A20)^3+'FCF Projections'!F17/(1+$A20)^4+'FCF Projections'!G17/(1+$A20)^5+('FCF Projections'!G7*D$14)/(1+$A20)^5-(Assumptions!B18-Assumptions!B19))/Assumptions!B5</f>
        <v/>
      </c>
      <c r="E20" s="33">
        <f>('FCF Projections'!C17/(1+$A20)^1+'FCF Projections'!D17/(1+$A20)^2+'FCF Projections'!E17/(1+$A20)^3+'FCF Projections'!F17/(1+$A20)^4+'FCF Projections'!G17/(1+$A20)^5+('FCF Projections'!G7*E$14)/(1+$A20)^5-(Assumptions!B18-Assumptions!B19))/Assumptions!B5</f>
        <v/>
      </c>
      <c r="F20" s="33">
        <f>('FCF Projections'!C17/(1+$A20)^1+'FCF Projections'!D17/(1+$A20)^2+'FCF Projections'!E17/(1+$A20)^3+'FCF Projections'!F17/(1+$A20)^4+'FCF Projections'!G17/(1+$A20)^5+('FCF Projections'!G7*F$14)/(1+$A20)^5-(Assumptions!B18-Assumptions!B19))/Assumptions!B5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B86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Analysis</t>
        </is>
      </c>
    </row>
    <row r="3">
      <c r="A3" s="14" t="inlineStr">
        <is>
          <t>Assumption</t>
        </is>
      </c>
      <c r="B3" s="14" t="inlineStr">
        <is>
          <t>Bear Case</t>
        </is>
      </c>
      <c r="C3" s="14" t="inlineStr">
        <is>
          <t>Base Case</t>
        </is>
      </c>
      <c r="D3" s="14" t="inlineStr">
        <is>
          <t>Bull Case</t>
        </is>
      </c>
    </row>
    <row r="4">
      <c r="A4" s="35" t="inlineStr">
        <is>
          <t>Revenue CAGR (5Y)</t>
        </is>
      </c>
      <c r="B4" s="36" t="inlineStr">
        <is>
          <t>10%</t>
        </is>
      </c>
      <c r="C4" s="37" t="inlineStr">
        <is>
          <t>13%</t>
        </is>
      </c>
      <c r="D4" s="38" t="inlineStr">
        <is>
          <t>16%</t>
        </is>
      </c>
    </row>
    <row r="5">
      <c r="A5" s="35" t="inlineStr">
        <is>
          <t>Terminal EBITDA Margin</t>
        </is>
      </c>
      <c r="B5" s="36" t="inlineStr">
        <is>
          <t>18%</t>
        </is>
      </c>
      <c r="C5" s="37" t="inlineStr">
        <is>
          <t>22%</t>
        </is>
      </c>
      <c r="D5" s="38" t="inlineStr">
        <is>
          <t>26%</t>
        </is>
      </c>
    </row>
    <row r="6">
      <c r="A6" s="35" t="inlineStr">
        <is>
          <t>WACC</t>
        </is>
      </c>
      <c r="B6" s="36" t="inlineStr">
        <is>
          <t>11.0%</t>
        </is>
      </c>
      <c r="C6" s="37" t="inlineStr">
        <is>
          <t>9.2%</t>
        </is>
      </c>
      <c r="D6" s="38" t="inlineStr">
        <is>
          <t>8.0%</t>
        </is>
      </c>
    </row>
    <row r="7">
      <c r="A7" s="35" t="inlineStr">
        <is>
          <t>Terminal Growth Rate</t>
        </is>
      </c>
      <c r="B7" s="36" t="inlineStr">
        <is>
          <t>2.0%</t>
        </is>
      </c>
      <c r="C7" s="37" t="inlineStr">
        <is>
          <t>3.0%</t>
        </is>
      </c>
      <c r="D7" s="38" t="inlineStr">
        <is>
          <t>4.0%</t>
        </is>
      </c>
    </row>
    <row r="8">
      <c r="A8" s="35" t="inlineStr">
        <is>
          <t>Exit EV/EBITDA</t>
        </is>
      </c>
      <c r="B8" s="36" t="inlineStr">
        <is>
          <t>16.0x</t>
        </is>
      </c>
      <c r="C8" s="37" t="inlineStr">
        <is>
          <t>20.0x</t>
        </is>
      </c>
      <c r="D8" s="38" t="inlineStr">
        <is>
          <t>24.0x</t>
        </is>
      </c>
    </row>
    <row r="9">
      <c r="A9" s="39" t="inlineStr"/>
      <c r="B9" s="39" t="inlineStr"/>
      <c r="C9" s="39" t="inlineStr"/>
      <c r="D9" s="39" t="inlineStr"/>
    </row>
    <row r="10">
      <c r="A10" s="40" t="inlineStr">
        <is>
          <t>Implied Price/Share</t>
        </is>
      </c>
      <c r="B10" s="41" t="n">
        <v>50</v>
      </c>
      <c r="C10" s="42">
        <f>Valuation!D32</f>
        <v/>
      </c>
      <c r="D10" s="43" t="n">
        <v>140</v>
      </c>
    </row>
    <row r="11">
      <c r="A11" s="35" t="inlineStr">
        <is>
          <t>Upside / (Downside)</t>
        </is>
      </c>
      <c r="B11" s="44">
        <f>(B10-Assumptions!B4)/Assumptions!B4</f>
        <v/>
      </c>
      <c r="C11" s="44">
        <f>(C10-Assumptions!B4)/Assumptions!B4</f>
        <v/>
      </c>
      <c r="D11" s="44">
        <f>(D10-Assumptions!B4)/Assumptions!B4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2026-02-28T18:00:49Z</dcterms:created>
  <dcterms:modified xsi:type="dcterms:W3CDTF">2026-02-28T18:00:49Z</dcterms:modified>
</cp:coreProperties>
</file>