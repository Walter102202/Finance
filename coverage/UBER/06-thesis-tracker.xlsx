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sis" sheetId="1" state="visible" r:id="rId1"/>
    <sheet name="Change Log" sheetId="2" state="visible" r:id="rId2"/>
    <sheet name="Ra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2C5F8A"/>
      <sz val="11"/>
    </font>
    <font>
      <name val="Arial"/>
      <b val="1"/>
      <sz val="10"/>
    </font>
    <font>
      <name val="Arial"/>
      <b val="1"/>
      <color rgb="001B6B3A"/>
      <sz val="12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1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6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22" customWidth="1" min="4" max="4"/>
    <col width="16" customWidth="1" min="5" max="5"/>
    <col width="16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Thesis Tracker — UBER (Uber Technologies)</t>
        </is>
      </c>
    </row>
    <row r="2">
      <c r="A2" s="2" t="inlineStr">
        <is>
          <t>Last Updated: 2026-02-28</t>
        </is>
      </c>
    </row>
    <row r="4">
      <c r="A4" s="3" t="inlineStr">
        <is>
          <t>#</t>
        </is>
      </c>
      <c r="B4" s="3" t="inlineStr">
        <is>
          <t>Thesis Pillar</t>
        </is>
      </c>
      <c r="C4" s="3" t="inlineStr">
        <is>
          <t>Description</t>
        </is>
      </c>
      <c r="D4" s="3" t="inlineStr">
        <is>
          <t>KPI</t>
        </is>
      </c>
      <c r="E4" s="3" t="inlineStr">
        <is>
          <t>Expected</t>
        </is>
      </c>
      <c r="F4" s="3" t="inlineStr">
        <is>
          <t>Actual</t>
        </is>
      </c>
      <c r="G4" s="3" t="inlineStr">
        <is>
          <t>Status</t>
        </is>
      </c>
      <c r="H4" s="3" t="inlineStr">
        <is>
          <t>Conviction (1-5)</t>
        </is>
      </c>
      <c r="I4" s="3" t="inlineStr">
        <is>
          <t>Last Checked</t>
        </is>
      </c>
    </row>
    <row r="5">
      <c r="A5" s="4" t="inlineStr">
        <is>
          <t>1</t>
        </is>
      </c>
      <c r="B5" s="5" t="inlineStr">
        <is>
          <t>Global Mobility Dominance</t>
        </is>
      </c>
      <c r="C5" s="5" t="inlineStr">
        <is>
          <t>~75% U.S. ride-hailing share, #1-2 in most international markets. 202M MAPCs, 13.6B trips. Network effects create structural moat.</t>
        </is>
      </c>
      <c r="D5" s="5" t="inlineStr">
        <is>
          <t>MAPCs (M)</t>
        </is>
      </c>
      <c r="E5" s="6" t="inlineStr">
        <is>
          <t>&gt;200M (FY2025)</t>
        </is>
      </c>
      <c r="F5" s="6" t="inlineStr">
        <is>
          <t>202M+ (FY2025A)</t>
        </is>
      </c>
      <c r="G5" s="4" t="inlineStr">
        <is>
          <t>On Track</t>
        </is>
      </c>
      <c r="H5" s="4" t="n">
        <v>5</v>
      </c>
      <c r="I5" s="4" t="inlineStr">
        <is>
          <t>2026-02-28</t>
        </is>
      </c>
    </row>
    <row r="6">
      <c r="A6" s="4" t="inlineStr">
        <is>
          <t>2</t>
        </is>
      </c>
      <c r="B6" s="5" t="inlineStr">
        <is>
          <t>AV Platform Orchestration</t>
        </is>
      </c>
      <c r="C6" s="5" t="inlineStr">
        <is>
          <t>Multi-partner AV strategy (Waymo, WeRide, Nuro/Lucid, Momenta, Wayve). Positioning as world's largest AV aggregation platform.</t>
        </is>
      </c>
      <c r="D6" s="5" t="inlineStr">
        <is>
          <t>AV Cities Live</t>
        </is>
      </c>
      <c r="E6" s="6" t="inlineStr">
        <is>
          <t>10+ by mid-2026</t>
        </is>
      </c>
      <c r="F6" s="6" t="inlineStr">
        <is>
          <t>5 (Austin, Atlanta expanding)</t>
        </is>
      </c>
      <c r="G6" s="4" t="inlineStr">
        <is>
          <t>On Track</t>
        </is>
      </c>
      <c r="H6" s="4" t="n">
        <v>4</v>
      </c>
      <c r="I6" s="4" t="inlineStr">
        <is>
          <t>2026-02-28</t>
        </is>
      </c>
    </row>
    <row r="7">
      <c r="A7" s="4" t="inlineStr">
        <is>
          <t>3</t>
        </is>
      </c>
      <c r="B7" s="5" t="inlineStr">
        <is>
          <t>Advertising Revenue Engine</t>
        </is>
      </c>
      <c r="C7" s="5" t="inlineStr">
        <is>
          <t>Uber Ads at $1.5B+ annual run rate, +60% YoY growth. Journey Ads, sponsored listings, merchant offers. ~80% incremental margins.</t>
        </is>
      </c>
      <c r="D7" s="5" t="inlineStr">
        <is>
          <t>Ads ARR ($B)</t>
        </is>
      </c>
      <c r="E7" s="6" t="inlineStr">
        <is>
          <t>&gt;$1.5B (FY2025)</t>
        </is>
      </c>
      <c r="F7" s="6" t="inlineStr">
        <is>
          <t>$1.5B+ (Q1 2025 ARR)</t>
        </is>
      </c>
      <c r="G7" s="4" t="inlineStr">
        <is>
          <t>On Track</t>
        </is>
      </c>
      <c r="H7" s="4" t="n">
        <v>5</v>
      </c>
      <c r="I7" s="4" t="inlineStr">
        <is>
          <t>2026-02-28</t>
        </is>
      </c>
    </row>
    <row r="8">
      <c r="A8" s="4" t="inlineStr">
        <is>
          <t>4</t>
        </is>
      </c>
      <c r="B8" s="5" t="inlineStr">
        <is>
          <t>Uber One Membership Flywheel</t>
        </is>
      </c>
      <c r="C8" s="5" t="inlineStr">
        <is>
          <t>46M subscribers (+55% YoY). Members spend 3x more, ~50% of total gross bookings. Drives engagement and retention.</t>
        </is>
      </c>
      <c r="D8" s="5" t="inlineStr">
        <is>
          <t>Uber One Subs (M)</t>
        </is>
      </c>
      <c r="E8" s="6" t="inlineStr">
        <is>
          <t>&gt;40M (FY2025)</t>
        </is>
      </c>
      <c r="F8" s="6" t="inlineStr">
        <is>
          <t>46M (FY2025A)</t>
        </is>
      </c>
      <c r="G8" s="4" t="inlineStr">
        <is>
          <t>On Track</t>
        </is>
      </c>
      <c r="H8" s="4" t="n">
        <v>5</v>
      </c>
      <c r="I8" s="4" t="inlineStr">
        <is>
          <t>2026-02-28</t>
        </is>
      </c>
    </row>
    <row r="9">
      <c r="A9" s="4" t="inlineStr">
        <is>
          <t>5</t>
        </is>
      </c>
      <c r="B9" s="5" t="inlineStr">
        <is>
          <t>Delivery Margin Expansion</t>
        </is>
      </c>
      <c r="C9" s="5" t="inlineStr">
        <is>
          <t>Delivery EBITDA margin expanding rapidly (2.8% of GBs Q4 2023 to 3.6% Q4 2024). Approaching Mobility-like margins long term.</t>
        </is>
      </c>
      <c r="D9" s="5" t="inlineStr">
        <is>
          <t>Del. EBITDA % GBs</t>
        </is>
      </c>
      <c r="E9" s="6" t="inlineStr">
        <is>
          <t>&gt;3.5% (Q4 2025)</t>
        </is>
      </c>
      <c r="F9" s="6" t="inlineStr">
        <is>
          <t>~3.6% (Q4 2025A)</t>
        </is>
      </c>
      <c r="G9" s="4" t="inlineStr">
        <is>
          <t>On Track</t>
        </is>
      </c>
      <c r="H9" s="4" t="n">
        <v>4</v>
      </c>
      <c r="I9" s="4" t="inlineStr">
        <is>
          <t>2026-02-28</t>
        </is>
      </c>
    </row>
    <row r="10">
      <c r="A10" s="4" t="inlineStr">
        <is>
          <t>6</t>
        </is>
      </c>
      <c r="B10" s="5" t="inlineStr">
        <is>
          <t>International Growth</t>
        </is>
      </c>
      <c r="C10" s="5" t="inlineStr">
        <is>
          <t>60% of Mobility GBs international. Strong MAPCs growth in LatAm, India, Africa, SE Asia. Underpenetrated markets.</t>
        </is>
      </c>
      <c r="D10" s="5" t="inlineStr">
        <is>
          <t>Intl Mobility GB Growth</t>
        </is>
      </c>
      <c r="E10" s="6" t="inlineStr">
        <is>
          <t>&gt;15% YoY</t>
        </is>
      </c>
      <c r="F10" s="6" t="inlineStr">
        <is>
          <t>~20% (FY2025A est.)</t>
        </is>
      </c>
      <c r="G10" s="4" t="inlineStr">
        <is>
          <t>On Track</t>
        </is>
      </c>
      <c r="H10" s="4" t="n">
        <v>5</v>
      </c>
      <c r="I10" s="4" t="inlineStr">
        <is>
          <t>2026-02-28</t>
        </is>
      </c>
    </row>
    <row r="11">
      <c r="A11" s="4" t="inlineStr">
        <is>
          <t>7</t>
        </is>
      </c>
      <c r="B11" s="5" t="inlineStr">
        <is>
          <t>FCF &amp; Capital Returns</t>
        </is>
      </c>
      <c r="C11" s="5" t="inlineStr">
        <is>
          <t>FCF of $9.8B in FY2025 (+41% YoY). $10B+ buyback capacity. Share count declining. Operating leverage driving expansion.</t>
        </is>
      </c>
      <c r="D11" s="5" t="inlineStr">
        <is>
          <t>FCF ($B)</t>
        </is>
      </c>
      <c r="E11" s="6" t="inlineStr">
        <is>
          <t>&gt;$9B (FY2025)</t>
        </is>
      </c>
      <c r="F11" s="6" t="inlineStr">
        <is>
          <t>$9.8B (FY2025A)</t>
        </is>
      </c>
      <c r="G11" s="4" t="inlineStr">
        <is>
          <t>On Track</t>
        </is>
      </c>
      <c r="H11" s="4" t="n">
        <v>5</v>
      </c>
      <c r="I11" s="4" t="inlineStr">
        <is>
          <t>2026-02-28</t>
        </is>
      </c>
    </row>
    <row r="12">
      <c r="A12" s="4" t="inlineStr">
        <is>
          <t>8</t>
        </is>
      </c>
      <c r="B12" s="5" t="inlineStr">
        <is>
          <t>Near-Term Margin Investment</t>
        </is>
      </c>
      <c r="C12" s="5" t="inlineStr">
        <is>
          <t>Q1 2026 EBITDA guidance below consensus ($2.37-2.47B vs $2.55B est). Suggests near-term investment in driver supply and intl expansion.</t>
        </is>
      </c>
      <c r="D12" s="5" t="inlineStr">
        <is>
          <t>Adj. EBITDA Margin %</t>
        </is>
      </c>
      <c r="E12" s="6" t="inlineStr">
        <is>
          <t>&gt;17% (FY2026E)</t>
        </is>
      </c>
      <c r="F12" s="6" t="inlineStr">
        <is>
          <t>Q1 guide below street</t>
        </is>
      </c>
      <c r="G12" s="4" t="inlineStr">
        <is>
          <t>At Risk</t>
        </is>
      </c>
      <c r="H12" s="4" t="n">
        <v>3</v>
      </c>
      <c r="I12" s="4" t="inlineStr">
        <is>
          <t>2026-02-28</t>
        </is>
      </c>
    </row>
    <row r="14">
      <c r="A14" s="7" t="inlineStr">
        <is>
          <t>Overall Conviction Score</t>
        </is>
      </c>
      <c r="H14" s="8">
        <f>AVERAGE(H5:H12)</f>
        <v/>
      </c>
    </row>
    <row r="15">
      <c r="A15" s="9" t="inlineStr">
        <is>
          <t>Pillars On Track</t>
        </is>
      </c>
      <c r="H15" s="10">
        <f>COUNTIF(G5:G12,"On Track")</f>
        <v/>
      </c>
    </row>
    <row r="16">
      <c r="A16" s="9" t="inlineStr">
        <is>
          <t>Pillars At Risk</t>
        </is>
      </c>
      <c r="H16" s="11">
        <f>COUNTIF(G5:G12,"At Risk")</f>
        <v/>
      </c>
    </row>
    <row r="17">
      <c r="A17" s="9" t="inlineStr">
        <is>
          <t>Pillars Broken</t>
        </is>
      </c>
      <c r="H17" s="11">
        <f>COUNTIF(G5:G12,"Broken")</f>
        <v/>
      </c>
    </row>
  </sheetData>
  <conditionalFormatting sqref="G5:G12">
    <cfRule type="cellIs" priority="1" operator="equal" dxfId="0">
      <formula>"On Track"</formula>
    </cfRule>
    <cfRule type="cellIs" priority="2" operator="equal" dxfId="1">
      <formula>"At Risk"</formula>
    </cfRule>
    <cfRule type="cellIs" priority="3" operator="equal" dxfId="2">
      <formula>"Broken"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Thesis Change Log</t>
        </is>
      </c>
    </row>
    <row r="3">
      <c r="A3" s="3" t="inlineStr">
        <is>
          <t>Date</t>
        </is>
      </c>
      <c r="B3" s="3" t="inlineStr">
        <is>
          <t>Trigger / Event</t>
        </is>
      </c>
      <c r="C3" s="3" t="inlineStr">
        <is>
          <t>Pillar Affected</t>
        </is>
      </c>
      <c r="D3" s="3" t="inlineStr">
        <is>
          <t>Old Status</t>
        </is>
      </c>
      <c r="E3" s="3" t="inlineStr">
        <is>
          <t>New Status</t>
        </is>
      </c>
      <c r="F3" s="3" t="inlineStr">
        <is>
          <t>Old Conviction</t>
        </is>
      </c>
      <c r="G3" s="3" t="inlineStr">
        <is>
          <t>New Conviction</t>
        </is>
      </c>
      <c r="H3" s="3" t="inlineStr">
        <is>
          <t>Notes</t>
        </is>
      </c>
    </row>
    <row r="4">
      <c r="A4" s="12" t="inlineStr">
        <is>
          <t>2026-02-28</t>
        </is>
      </c>
      <c r="B4" s="12" t="inlineStr">
        <is>
          <t>Initiation of coverage</t>
        </is>
      </c>
      <c r="C4" s="12" t="inlineStr">
        <is>
          <t>All</t>
        </is>
      </c>
      <c r="D4" s="12" t="inlineStr">
        <is>
          <t>N/A</t>
        </is>
      </c>
      <c r="E4" s="12" t="inlineStr">
        <is>
          <t>On Track</t>
        </is>
      </c>
      <c r="F4" s="12" t="inlineStr">
        <is>
          <t>N/A</t>
        </is>
      </c>
      <c r="G4" s="12" t="inlineStr">
        <is>
          <t>4-5</t>
        </is>
      </c>
      <c r="H4" s="12" t="inlineStr">
        <is>
          <t>All pillars initialized at coverage initiation.</t>
        </is>
      </c>
    </row>
    <row r="5">
      <c r="A5" s="12" t="inlineStr">
        <is>
          <t>2026-02-04</t>
        </is>
      </c>
      <c r="B5" s="12" t="inlineStr">
        <is>
          <t>UBER Q4 2025 Earnings</t>
        </is>
      </c>
      <c r="C5" s="12" t="inlineStr">
        <is>
          <t>Near-Term Margin (#8)</t>
        </is>
      </c>
      <c r="D5" s="12" t="inlineStr">
        <is>
          <t>N/A</t>
        </is>
      </c>
      <c r="E5" s="12" t="inlineStr">
        <is>
          <t>At Risk</t>
        </is>
      </c>
      <c r="F5" s="12" t="inlineStr">
        <is>
          <t>N/A</t>
        </is>
      </c>
      <c r="G5" s="12" t="inlineStr">
        <is>
          <t>3</t>
        </is>
      </c>
      <c r="H5" s="12" t="inlineStr">
        <is>
          <t>Q1 2026 EBITDA guidance $2.37-2.47B below consensus ~$2.55B. Stock fell ~7%. Suggests near-term driver incentive/intl investment.</t>
        </is>
      </c>
    </row>
    <row r="6">
      <c r="A6" s="12" t="inlineStr">
        <is>
          <t>2026-02-04</t>
        </is>
      </c>
      <c r="B6" s="12" t="inlineStr">
        <is>
          <t>UBER Q4 2025 Earnings</t>
        </is>
      </c>
      <c r="C6" s="12" t="inlineStr">
        <is>
          <t>Uber One (#4)</t>
        </is>
      </c>
      <c r="D6" s="12" t="inlineStr">
        <is>
          <t>N/A</t>
        </is>
      </c>
      <c r="E6" s="12" t="inlineStr">
        <is>
          <t>On Track</t>
        </is>
      </c>
      <c r="F6" s="12" t="inlineStr">
        <is>
          <t>N/A</t>
        </is>
      </c>
      <c r="G6" s="12" t="inlineStr">
        <is>
          <t>5</t>
        </is>
      </c>
      <c r="H6" s="12" t="inlineStr">
        <is>
          <t>46M subscribers (+55% YoY), now ~50% of GBs. Exceptional growth.</t>
        </is>
      </c>
    </row>
    <row r="7">
      <c r="A7" s="12" t="inlineStr">
        <is>
          <t>2026-02-04</t>
        </is>
      </c>
      <c r="B7" s="12" t="inlineStr">
        <is>
          <t>UBER Q4 2025 Earnings</t>
        </is>
      </c>
      <c r="C7" s="12" t="inlineStr">
        <is>
          <t>FCF (#7)</t>
        </is>
      </c>
      <c r="D7" s="12" t="inlineStr">
        <is>
          <t>N/A</t>
        </is>
      </c>
      <c r="E7" s="12" t="inlineStr">
        <is>
          <t>On Track</t>
        </is>
      </c>
      <c r="F7" s="12" t="inlineStr">
        <is>
          <t>N/A</t>
        </is>
      </c>
      <c r="G7" s="12" t="inlineStr">
        <is>
          <t>5</t>
        </is>
      </c>
      <c r="H7" s="12" t="inlineStr">
        <is>
          <t>FCF $9.8B for FY2025 (+41% YoY). Industry-leading 18.8% FCF margin.</t>
        </is>
      </c>
    </row>
    <row r="8">
      <c r="A8" s="12" t="inlineStr">
        <is>
          <t>2026-02-04</t>
        </is>
      </c>
      <c r="B8" s="12" t="inlineStr">
        <is>
          <t>UBER Q4 2025 Earnings</t>
        </is>
      </c>
      <c r="C8" s="12" t="inlineStr">
        <is>
          <t>AV Platform (#2)</t>
        </is>
      </c>
      <c r="D8" s="12" t="inlineStr">
        <is>
          <t>N/A</t>
        </is>
      </c>
      <c r="E8" s="12" t="inlineStr">
        <is>
          <t>On Track</t>
        </is>
      </c>
      <c r="F8" s="12" t="inlineStr">
        <is>
          <t>N/A</t>
        </is>
      </c>
      <c r="G8" s="12" t="inlineStr">
        <is>
          <t>4</t>
        </is>
      </c>
      <c r="H8" s="12" t="inlineStr">
        <is>
          <t>Waymo partnership expanding. 15 AV city target by end-2026 confirmed. $300M Lucid/Nuro investment.</t>
        </is>
      </c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Rating &amp; Target Price</t>
        </is>
      </c>
    </row>
    <row r="3">
      <c r="A3" s="14" t="inlineStr">
        <is>
          <t>Current Rating</t>
        </is>
      </c>
      <c r="B3" s="15" t="inlineStr">
        <is>
          <t>BUY</t>
        </is>
      </c>
    </row>
    <row r="4">
      <c r="A4" s="14" t="inlineStr">
        <is>
          <t>Target Price</t>
        </is>
      </c>
      <c r="B4" s="12" t="inlineStr">
        <is>
          <t>$100</t>
        </is>
      </c>
    </row>
    <row r="5">
      <c r="A5" s="14" t="inlineStr">
        <is>
          <t>Current Price</t>
        </is>
      </c>
      <c r="B5" s="12" t="inlineStr">
        <is>
          <t>$72.83</t>
        </is>
      </c>
    </row>
    <row r="6">
      <c r="A6" s="14" t="inlineStr">
        <is>
          <t>Upside / (Downside)</t>
        </is>
      </c>
      <c r="B6" s="12" t="inlineStr">
        <is>
          <t>+37.3%</t>
        </is>
      </c>
    </row>
    <row r="7">
      <c r="A7" s="12" t="inlineStr"/>
      <c r="B7" s="12" t="inlineStr"/>
    </row>
    <row r="8">
      <c r="A8" s="14" t="inlineStr">
        <is>
          <t>Conviction Score</t>
        </is>
      </c>
      <c r="B8" s="12">
        <f>Thesis!H14</f>
        <v/>
      </c>
    </row>
    <row r="9">
      <c r="A9" s="14" t="inlineStr">
        <is>
          <t>Pillars On Track</t>
        </is>
      </c>
      <c r="B9" s="12">
        <f>Thesis!H15</f>
        <v/>
      </c>
    </row>
    <row r="10">
      <c r="A10" s="14" t="inlineStr">
        <is>
          <t>Pillars At Risk</t>
        </is>
      </c>
      <c r="B10" s="12">
        <f>Thesis!H16</f>
        <v/>
      </c>
    </row>
    <row r="11">
      <c r="A11" s="14" t="inlineStr">
        <is>
          <t>Pillars Broken</t>
        </is>
      </c>
      <c r="B11" s="12">
        <f>Thesis!H17</f>
        <v/>
      </c>
    </row>
    <row r="12">
      <c r="A12" s="12" t="inlineStr"/>
      <c r="B12" s="12" t="inlineStr"/>
    </row>
    <row r="13">
      <c r="A13" s="14" t="inlineStr">
        <is>
          <t>Last Updated</t>
        </is>
      </c>
      <c r="B13" s="12" t="inlineStr">
        <is>
          <t>2026-02-28</t>
        </is>
      </c>
    </row>
    <row r="14">
      <c r="A14" s="14" t="inlineStr">
        <is>
          <t>Next Review</t>
        </is>
      </c>
      <c r="B14" s="12" t="inlineStr">
        <is>
          <t>Weekly / post-material event</t>
        </is>
      </c>
    </row>
    <row r="15">
      <c r="A15" s="12" t="inlineStr"/>
      <c r="B15" s="12" t="inlineStr"/>
    </row>
    <row r="16">
      <c r="A16" s="16" t="inlineStr">
        <is>
          <t>Rating Change Triggers:</t>
        </is>
      </c>
      <c r="B16" s="12" t="inlineStr"/>
    </row>
    <row r="17">
      <c r="A17" s="16" t="inlineStr">
        <is>
          <t>Downgrade to HOLD if:</t>
        </is>
      </c>
      <c r="B17" s="12" t="inlineStr">
        <is>
          <t>2+ pillars At Risk AND conviction &lt; 3.0</t>
        </is>
      </c>
    </row>
    <row r="18">
      <c r="A18" s="16" t="inlineStr">
        <is>
          <t>Downgrade to SELL if:</t>
        </is>
      </c>
      <c r="B18" s="12" t="inlineStr">
        <is>
          <t>2+ pillars Broken OR conviction &lt; 2.0</t>
        </is>
      </c>
    </row>
    <row r="19">
      <c r="A19" s="16" t="inlineStr">
        <is>
          <t>Upgrade criteria:</t>
        </is>
      </c>
      <c r="B19" s="12" t="inlineStr">
        <is>
          <t>All pillars On Track AND conviction &gt;= 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2026-02-28T18:07:55Z</dcterms:created>
  <dcterms:modified xsi:type="dcterms:W3CDTF">2026-02-28T18:07:55Z</dcterms:modified>
</cp:coreProperties>
</file>