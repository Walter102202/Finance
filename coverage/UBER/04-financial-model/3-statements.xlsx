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Assumptions" sheetId="1" state="visible" r:id="rId1"/>
    <sheet name="Income Statement" sheetId="2" state="visible" r:id="rId2"/>
    <sheet name="Balance Sheet" sheetId="3" state="visible" r:id="rId3"/>
    <sheet name="Cash Flow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0.0%"/>
    <numFmt numFmtId="165" formatCode="$#,##0.00"/>
    <numFmt numFmtId="166" formatCode="#,##0;(#,##0);&quot;-&quot;"/>
  </numFmts>
  <fonts count="8">
    <font>
      <name val="Calibri"/>
      <family val="2"/>
      <color theme="1"/>
      <sz val="11"/>
      <scheme val="minor"/>
    </font>
    <font>
      <name val="Arial"/>
      <b val="1"/>
      <color rgb="001B3A5C"/>
      <sz val="14"/>
    </font>
    <font>
      <name val="Arial"/>
      <b val="1"/>
      <color rgb="00FFFFFF"/>
      <sz val="10"/>
    </font>
    <font>
      <name val="Arial"/>
      <b val="1"/>
      <sz val="10"/>
    </font>
    <font>
      <name val="Arial"/>
      <color rgb="000000FF"/>
      <sz val="10"/>
    </font>
    <font>
      <name val="Arial"/>
      <color rgb="00000000"/>
      <sz val="10"/>
    </font>
    <font>
      <name val="Arial"/>
      <b val="1"/>
      <color rgb="001B3A5C"/>
      <sz val="10"/>
    </font>
    <font>
      <name val="Arial"/>
      <color rgb="00008000"/>
      <sz val="10"/>
    </font>
  </fonts>
  <fills count="7">
    <fill>
      <patternFill/>
    </fill>
    <fill>
      <patternFill patternType="gray125"/>
    </fill>
    <fill>
      <patternFill patternType="solid">
        <fgColor rgb="001B3A5C"/>
      </patternFill>
    </fill>
    <fill>
      <patternFill patternType="solid">
        <fgColor rgb="003D5A80"/>
      </patternFill>
    </fill>
    <fill>
      <patternFill patternType="solid">
        <fgColor rgb="00E07A2F"/>
      </patternFill>
    </fill>
    <fill>
      <patternFill patternType="solid">
        <fgColor rgb="00FFFF00"/>
      </patternFill>
    </fill>
    <fill>
      <patternFill patternType="solid">
        <fgColor rgb="00FFF8E1"/>
      </patternFill>
    </fill>
  </fills>
  <borders count="3">
    <border>
      <left/>
      <right/>
      <top/>
      <bottom/>
      <diagonal/>
    </border>
    <border>
      <left style="thin">
        <color rgb="00CCCCCC"/>
      </left>
      <right style="thin">
        <color rgb="00CCCCCC"/>
      </right>
      <top style="thin">
        <color rgb="00CCCCCC"/>
      </top>
      <bottom style="thin">
        <color rgb="00CCCCCC"/>
      </bottom>
    </border>
    <border>
      <top style="medium">
        <color rgb="001B3A5C"/>
      </top>
      <bottom style="double">
        <color rgb="001B3A5C"/>
      </bottom>
    </border>
  </borders>
  <cellStyleXfs count="1">
    <xf numFmtId="0" fontId="0" fillId="0" borderId="0"/>
  </cellStyleXfs>
  <cellXfs count="35">
    <xf numFmtId="0" fontId="0" fillId="0" borderId="0" pivotButton="0" quotePrefix="0" xfId="0"/>
    <xf numFmtId="0" fontId="1" fillId="0" borderId="0" pivotButton="0" quotePrefix="0" xfId="0"/>
    <xf numFmtId="0" fontId="2" fillId="2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center" vertical="center"/>
    </xf>
    <xf numFmtId="0" fontId="2" fillId="4" borderId="1" applyAlignment="1" pivotButton="0" quotePrefix="0" xfId="0">
      <alignment horizontal="center" vertical="center"/>
    </xf>
    <xf numFmtId="0" fontId="3" fillId="0" borderId="0" pivotButton="0" quotePrefix="0" xfId="0"/>
    <xf numFmtId="164" fontId="4" fillId="0" borderId="0" pivotButton="0" quotePrefix="0" xfId="0"/>
    <xf numFmtId="164" fontId="4" fillId="5" borderId="0" pivotButton="0" quotePrefix="0" xfId="0"/>
    <xf numFmtId="0" fontId="5" fillId="0" borderId="0" pivotButton="0" quotePrefix="0" xfId="0"/>
    <xf numFmtId="1" fontId="4" fillId="0" borderId="0" pivotButton="0" quotePrefix="0" xfId="0"/>
    <xf numFmtId="1" fontId="4" fillId="5" borderId="0" pivotButton="0" quotePrefix="0" xfId="0"/>
    <xf numFmtId="3" fontId="4" fillId="0" borderId="0" pivotButton="0" quotePrefix="0" xfId="0"/>
    <xf numFmtId="3" fontId="4" fillId="5" borderId="0" pivotButton="0" quotePrefix="0" xfId="0"/>
    <xf numFmtId="0" fontId="6" fillId="0" borderId="0" pivotButton="0" quotePrefix="0" xfId="0"/>
    <xf numFmtId="166" fontId="4" fillId="0" borderId="0" pivotButton="0" quotePrefix="0" xfId="0"/>
    <xf numFmtId="166" fontId="0" fillId="6" borderId="0" pivotButton="0" quotePrefix="0" xfId="0"/>
    <xf numFmtId="164" fontId="0" fillId="0" borderId="0" pivotButton="0" quotePrefix="0" xfId="0"/>
    <xf numFmtId="164" fontId="0" fillId="6" borderId="0" pivotButton="0" quotePrefix="0" xfId="0"/>
    <xf numFmtId="0" fontId="6" fillId="0" borderId="2" pivotButton="0" quotePrefix="0" xfId="0"/>
    <xf numFmtId="166" fontId="6" fillId="0" borderId="2" pivotButton="0" quotePrefix="0" xfId="0"/>
    <xf numFmtId="166" fontId="6" fillId="6" borderId="2" pivotButton="0" quotePrefix="0" xfId="0"/>
    <xf numFmtId="0" fontId="0" fillId="6" borderId="0" pivotButton="0" quotePrefix="0" xfId="0"/>
    <xf numFmtId="0" fontId="6" fillId="0" borderId="1" pivotButton="0" quotePrefix="0" xfId="0"/>
    <xf numFmtId="166" fontId="6" fillId="0" borderId="1" pivotButton="0" quotePrefix="0" xfId="0"/>
    <xf numFmtId="166" fontId="6" fillId="6" borderId="1" pivotButton="0" quotePrefix="0" xfId="0"/>
    <xf numFmtId="166" fontId="7" fillId="6" borderId="0" pivotButton="0" quotePrefix="0" xfId="0"/>
    <xf numFmtId="0" fontId="7" fillId="0" borderId="0" pivotButton="0" quotePrefix="0" xfId="0"/>
    <xf numFmtId="166" fontId="4" fillId="6" borderId="0" pivotButton="0" quotePrefix="0" xfId="0"/>
    <xf numFmtId="0" fontId="4" fillId="0" borderId="0" pivotButton="0" quotePrefix="0" xfId="0"/>
    <xf numFmtId="166" fontId="0" fillId="0" borderId="0" pivotButton="0" quotePrefix="0" xfId="0"/>
    <xf numFmtId="165" fontId="0" fillId="0" borderId="0" pivotButton="0" quotePrefix="0" xfId="0"/>
    <xf numFmtId="165" fontId="0" fillId="6" borderId="0" pivotButton="0" quotePrefix="0" xfId="0"/>
    <xf numFmtId="166" fontId="7" fillId="0" borderId="0" pivotButton="0" quotePrefix="0" xfId="0"/>
    <xf numFmtId="166" fontId="6" fillId="0" borderId="0" pivotButton="0" quotePrefix="0" xfId="0"/>
    <xf numFmtId="166" fontId="5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tabColor rgb="001B3A5C"/>
    <outlinePr summaryBelow="1" summaryRight="1"/>
    <pageSetUpPr/>
  </sheetPr>
  <dimension ref="A1:I18"/>
  <sheetViews>
    <sheetView workbookViewId="0">
      <selection activeCell="A1" sqref="A1"/>
    </sheetView>
  </sheetViews>
  <sheetFormatPr baseColWidth="8" defaultRowHeight="15"/>
  <cols>
    <col width="28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</cols>
  <sheetData>
    <row r="1">
      <c r="A1" s="1" t="inlineStr">
        <is>
          <t>Key Assumptions — UBER (Uber Technologies)</t>
        </is>
      </c>
    </row>
    <row r="3">
      <c r="A3" s="2" t="inlineStr"/>
      <c r="B3" s="3" t="inlineStr">
        <is>
          <t>2023A</t>
        </is>
      </c>
      <c r="C3" s="3" t="inlineStr">
        <is>
          <t>2024A</t>
        </is>
      </c>
      <c r="D3" s="3" t="inlineStr">
        <is>
          <t>2025A</t>
        </is>
      </c>
      <c r="E3" s="4" t="inlineStr">
        <is>
          <t>2026E</t>
        </is>
      </c>
      <c r="F3" s="4" t="inlineStr">
        <is>
          <t>2027E</t>
        </is>
      </c>
      <c r="G3" s="4" t="inlineStr">
        <is>
          <t>2028E</t>
        </is>
      </c>
      <c r="H3" s="4" t="inlineStr">
        <is>
          <t>2029E</t>
        </is>
      </c>
      <c r="I3" s="2" t="inlineStr">
        <is>
          <t>2030E</t>
        </is>
      </c>
    </row>
    <row r="4">
      <c r="A4" s="5" t="inlineStr">
        <is>
          <t>Revenue Growth %</t>
        </is>
      </c>
      <c r="B4" s="6" t="n">
        <v>0.169</v>
      </c>
      <c r="C4" s="6" t="n">
        <v>0.18</v>
      </c>
      <c r="D4" s="6" t="n">
        <v>0.183</v>
      </c>
      <c r="E4" s="7" t="n">
        <v>0.17</v>
      </c>
      <c r="F4" s="7" t="n">
        <v>0.15</v>
      </c>
      <c r="G4" s="7" t="n">
        <v>0.13</v>
      </c>
      <c r="H4" s="7" t="n">
        <v>0.11</v>
      </c>
      <c r="I4" s="7" t="n">
        <v>0.1</v>
      </c>
    </row>
    <row r="5">
      <c r="A5" s="5" t="inlineStr">
        <is>
          <t>COGS % of Revenue</t>
        </is>
      </c>
      <c r="B5" s="6" t="n">
        <v>0.627</v>
      </c>
      <c r="C5" s="6" t="n">
        <v>0.625</v>
      </c>
      <c r="D5" s="6" t="n">
        <v>0.615</v>
      </c>
      <c r="E5" s="7" t="n">
        <v>0.61</v>
      </c>
      <c r="F5" s="7" t="n">
        <v>0.6</v>
      </c>
      <c r="G5" s="7" t="n">
        <v>0.59</v>
      </c>
      <c r="H5" s="7" t="n">
        <v>0.58</v>
      </c>
      <c r="I5" s="7" t="n">
        <v>0.575</v>
      </c>
    </row>
    <row r="6">
      <c r="A6" s="5" t="inlineStr">
        <is>
          <t>S&amp;M % of Revenue</t>
        </is>
      </c>
      <c r="B6" s="6" t="n">
        <v>0.137</v>
      </c>
      <c r="C6" s="6" t="n">
        <v>0.12</v>
      </c>
      <c r="D6" s="6" t="n">
        <v>0.11</v>
      </c>
      <c r="E6" s="7" t="n">
        <v>0.105</v>
      </c>
      <c r="F6" s="7" t="n">
        <v>0.1</v>
      </c>
      <c r="G6" s="7" t="n">
        <v>0.095</v>
      </c>
      <c r="H6" s="7" t="n">
        <v>0.09</v>
      </c>
      <c r="I6" s="7" t="n">
        <v>0.08799999999999999</v>
      </c>
    </row>
    <row r="7">
      <c r="A7" s="5" t="inlineStr">
        <is>
          <t>R&amp;D % of Revenue</t>
        </is>
      </c>
      <c r="B7" s="6" t="n">
        <v>0.15</v>
      </c>
      <c r="C7" s="6" t="n">
        <v>0.131</v>
      </c>
      <c r="D7" s="6" t="n">
        <v>0.12</v>
      </c>
      <c r="E7" s="7" t="n">
        <v>0.115</v>
      </c>
      <c r="F7" s="7" t="n">
        <v>0.11</v>
      </c>
      <c r="G7" s="7" t="n">
        <v>0.105</v>
      </c>
      <c r="H7" s="7" t="n">
        <v>0.1</v>
      </c>
      <c r="I7" s="7" t="n">
        <v>0.098</v>
      </c>
    </row>
    <row r="8">
      <c r="A8" s="5" t="inlineStr">
        <is>
          <t>G&amp;A % of Revenue</t>
        </is>
      </c>
      <c r="B8" s="6" t="n">
        <v>0.076</v>
      </c>
      <c r="C8" s="6" t="n">
        <v>0.06</v>
      </c>
      <c r="D8" s="6" t="n">
        <v>0.055</v>
      </c>
      <c r="E8" s="7" t="n">
        <v>0.052</v>
      </c>
      <c r="F8" s="7" t="n">
        <v>0.05</v>
      </c>
      <c r="G8" s="7" t="n">
        <v>0.048</v>
      </c>
      <c r="H8" s="7" t="n">
        <v>0.046</v>
      </c>
      <c r="I8" s="7" t="n">
        <v>0.044</v>
      </c>
    </row>
    <row r="9">
      <c r="A9" s="5" t="inlineStr">
        <is>
          <t>D&amp;A % of Revenue</t>
        </is>
      </c>
      <c r="B9" s="6" t="n">
        <v>0.04</v>
      </c>
      <c r="C9" s="6" t="n">
        <v>0.035</v>
      </c>
      <c r="D9" s="6" t="n">
        <v>0.03</v>
      </c>
      <c r="E9" s="7" t="n">
        <v>0.028</v>
      </c>
      <c r="F9" s="7" t="n">
        <v>0.027</v>
      </c>
      <c r="G9" s="7" t="n">
        <v>0.026</v>
      </c>
      <c r="H9" s="7" t="n">
        <v>0.025</v>
      </c>
      <c r="I9" s="7" t="n">
        <v>0.025</v>
      </c>
    </row>
    <row r="10">
      <c r="A10" s="5" t="inlineStr">
        <is>
          <t>Tax Rate</t>
        </is>
      </c>
      <c r="B10" s="6" t="n">
        <v>0.1</v>
      </c>
      <c r="C10" s="6" t="n">
        <v>0.15</v>
      </c>
      <c r="D10" s="6" t="n">
        <v>0.18</v>
      </c>
      <c r="E10" s="7" t="n">
        <v>0.2</v>
      </c>
      <c r="F10" s="7" t="n">
        <v>0.21</v>
      </c>
      <c r="G10" s="7" t="n">
        <v>0.21</v>
      </c>
      <c r="H10" s="7" t="n">
        <v>0.21</v>
      </c>
      <c r="I10" s="7" t="n">
        <v>0.21</v>
      </c>
    </row>
    <row r="11">
      <c r="A11" s="8" t="inlineStr"/>
    </row>
    <row r="12">
      <c r="A12" s="5" t="inlineStr">
        <is>
          <t>Capex % of Revenue</t>
        </is>
      </c>
      <c r="B12" s="6" t="n">
        <v>0.035</v>
      </c>
      <c r="C12" s="6" t="n">
        <v>0.035</v>
      </c>
      <c r="D12" s="6" t="n">
        <v>0.033</v>
      </c>
      <c r="E12" s="7" t="n">
        <v>0.032</v>
      </c>
      <c r="F12" s="7" t="n">
        <v>0.03</v>
      </c>
      <c r="G12" s="7" t="n">
        <v>0.028</v>
      </c>
      <c r="H12" s="7" t="n">
        <v>0.026</v>
      </c>
      <c r="I12" s="7" t="n">
        <v>0.025</v>
      </c>
    </row>
    <row r="13">
      <c r="A13" s="5" t="inlineStr">
        <is>
          <t>AR Days</t>
        </is>
      </c>
      <c r="B13" s="9" t="n">
        <v>25</v>
      </c>
      <c r="C13" s="9" t="n">
        <v>24</v>
      </c>
      <c r="D13" s="9" t="n">
        <v>23</v>
      </c>
      <c r="E13" s="10" t="n">
        <v>23</v>
      </c>
      <c r="F13" s="10" t="n">
        <v>22</v>
      </c>
      <c r="G13" s="10" t="n">
        <v>22</v>
      </c>
      <c r="H13" s="10" t="n">
        <v>21</v>
      </c>
      <c r="I13" s="10" t="n">
        <v>21</v>
      </c>
    </row>
    <row r="14">
      <c r="A14" s="5" t="inlineStr">
        <is>
          <t>AP Days</t>
        </is>
      </c>
      <c r="B14" s="9" t="n">
        <v>50</v>
      </c>
      <c r="C14" s="9" t="n">
        <v>48</v>
      </c>
      <c r="D14" s="9" t="n">
        <v>46</v>
      </c>
      <c r="E14" s="10" t="n">
        <v>45</v>
      </c>
      <c r="F14" s="10" t="n">
        <v>44</v>
      </c>
      <c r="G14" s="10" t="n">
        <v>43</v>
      </c>
      <c r="H14" s="10" t="n">
        <v>42</v>
      </c>
      <c r="I14" s="10" t="n">
        <v>42</v>
      </c>
    </row>
    <row r="15">
      <c r="A15" s="5" t="inlineStr">
        <is>
          <t>Accrued Liabilities % Rev</t>
        </is>
      </c>
      <c r="B15" s="6" t="n">
        <v>0.06</v>
      </c>
      <c r="C15" s="6" t="n">
        <v>0.058</v>
      </c>
      <c r="D15" s="6" t="n">
        <v>0.055</v>
      </c>
      <c r="E15" s="7" t="n">
        <v>0.053</v>
      </c>
      <c r="F15" s="7" t="n">
        <v>0.051</v>
      </c>
      <c r="G15" s="7" t="n">
        <v>0.05</v>
      </c>
      <c r="H15" s="7" t="n">
        <v>0.048</v>
      </c>
      <c r="I15" s="7" t="n">
        <v>0.047</v>
      </c>
    </row>
    <row r="16">
      <c r="A16" s="8" t="inlineStr"/>
    </row>
    <row r="17">
      <c r="A17" s="5" t="inlineStr">
        <is>
          <t>Interest Rate on Debt</t>
        </is>
      </c>
      <c r="B17" s="6" t="n">
        <v>0.05</v>
      </c>
      <c r="C17" s="6" t="n">
        <v>0.052</v>
      </c>
      <c r="D17" s="6" t="n">
        <v>0.053</v>
      </c>
      <c r="E17" s="7" t="n">
        <v>0.053</v>
      </c>
      <c r="F17" s="7" t="n">
        <v>0.053</v>
      </c>
      <c r="G17" s="7" t="n">
        <v>0.052</v>
      </c>
      <c r="H17" s="7" t="n">
        <v>0.05</v>
      </c>
      <c r="I17" s="7" t="n">
        <v>0.048</v>
      </c>
    </row>
    <row r="18">
      <c r="A18" s="5" t="inlineStr">
        <is>
          <t>Shares Outstanding (M)</t>
        </is>
      </c>
      <c r="B18" s="11" t="n">
        <v>2050</v>
      </c>
      <c r="C18" s="11" t="n">
        <v>2070</v>
      </c>
      <c r="D18" s="11" t="n">
        <v>2084</v>
      </c>
      <c r="E18" s="12" t="n">
        <v>2060</v>
      </c>
      <c r="F18" s="12" t="n">
        <v>2040</v>
      </c>
      <c r="G18" s="12" t="n">
        <v>2020</v>
      </c>
      <c r="H18" s="12" t="n">
        <v>2000</v>
      </c>
      <c r="I18" s="12" t="n">
        <v>1980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2C5F8A"/>
    <outlinePr summaryBelow="1" summaryRight="1"/>
    <pageSetUpPr/>
  </sheetPr>
  <dimension ref="A1:I28"/>
  <sheetViews>
    <sheetView workbookViewId="0">
      <selection activeCell="A1" sqref="A1"/>
    </sheetView>
  </sheetViews>
  <sheetFormatPr baseColWidth="8" defaultRowHeight="15"/>
  <cols>
    <col width="32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</cols>
  <sheetData>
    <row r="1">
      <c r="A1" s="1" t="inlineStr">
        <is>
          <t>Income Statement — UBER ($M)</t>
        </is>
      </c>
    </row>
    <row r="3">
      <c r="A3" s="2" t="inlineStr"/>
      <c r="B3" s="2" t="inlineStr">
        <is>
          <t>2023A</t>
        </is>
      </c>
      <c r="C3" s="2" t="inlineStr">
        <is>
          <t>2024A</t>
        </is>
      </c>
      <c r="D3" s="2" t="inlineStr">
        <is>
          <t>2025A</t>
        </is>
      </c>
      <c r="E3" s="2" t="inlineStr">
        <is>
          <t>2026E</t>
        </is>
      </c>
      <c r="F3" s="2" t="inlineStr">
        <is>
          <t>2027E</t>
        </is>
      </c>
      <c r="G3" s="2" t="inlineStr">
        <is>
          <t>2028E</t>
        </is>
      </c>
      <c r="H3" s="2" t="inlineStr">
        <is>
          <t>2029E</t>
        </is>
      </c>
      <c r="I3" s="2" t="inlineStr">
        <is>
          <t>2030E</t>
        </is>
      </c>
    </row>
    <row r="4">
      <c r="A4" s="13" t="inlineStr">
        <is>
          <t>Revenue</t>
        </is>
      </c>
      <c r="B4" s="14" t="n">
        <v>37281</v>
      </c>
      <c r="C4" s="14" t="n">
        <v>43978</v>
      </c>
      <c r="D4" s="14" t="n">
        <v>52020</v>
      </c>
      <c r="E4" s="15">
        <f>D4*(1+Assumptions!E4)</f>
        <v/>
      </c>
      <c r="F4" s="15">
        <f>E4*(1+Assumptions!F4)</f>
        <v/>
      </c>
      <c r="G4" s="15">
        <f>F4*(1+Assumptions!G4)</f>
        <v/>
      </c>
      <c r="H4" s="15">
        <f>G4*(1+Assumptions!H4)</f>
        <v/>
      </c>
      <c r="I4">
        <f>H4*(1+Assumptions!I4)</f>
        <v/>
      </c>
    </row>
    <row r="5">
      <c r="A5" s="8" t="inlineStr">
        <is>
          <t>YoY Growth %</t>
        </is>
      </c>
      <c r="B5" s="16" t="n">
        <v>0.169</v>
      </c>
      <c r="C5" s="16">
        <f>(C4-B4)/B4</f>
        <v/>
      </c>
      <c r="D5" s="16">
        <f>(D4-C4)/C4</f>
        <v/>
      </c>
      <c r="E5" s="17">
        <f>Assumptions!E4</f>
        <v/>
      </c>
      <c r="F5" s="17">
        <f>Assumptions!F4</f>
        <v/>
      </c>
      <c r="G5" s="17">
        <f>Assumptions!G4</f>
        <v/>
      </c>
      <c r="H5" s="17">
        <f>Assumptions!H4</f>
        <v/>
      </c>
      <c r="I5" s="16">
        <f>Assumptions!I4</f>
        <v/>
      </c>
    </row>
    <row r="6">
      <c r="A6" s="8" t="inlineStr">
        <is>
          <t>(-) Cost of Revenue</t>
        </is>
      </c>
      <c r="B6" s="14" t="n">
        <v>23384</v>
      </c>
      <c r="C6" s="14" t="n">
        <v>27486</v>
      </c>
      <c r="D6" s="14" t="n">
        <v>31990</v>
      </c>
      <c r="E6" s="15">
        <f>E4*Assumptions!E5</f>
        <v/>
      </c>
      <c r="F6" s="15">
        <f>F4*Assumptions!F5</f>
        <v/>
      </c>
      <c r="G6" s="15">
        <f>G4*Assumptions!G5</f>
        <v/>
      </c>
      <c r="H6" s="15">
        <f>H4*Assumptions!H5</f>
        <v/>
      </c>
      <c r="I6">
        <f>I4*Assumptions!I5</f>
        <v/>
      </c>
    </row>
    <row r="7">
      <c r="A7" s="18" t="inlineStr">
        <is>
          <t>Gross Profit</t>
        </is>
      </c>
      <c r="B7" s="19">
        <f>B4-B6</f>
        <v/>
      </c>
      <c r="C7" s="19">
        <f>C4-C6</f>
        <v/>
      </c>
      <c r="D7" s="19">
        <f>D4-D6</f>
        <v/>
      </c>
      <c r="E7" s="20">
        <f>E4-E6</f>
        <v/>
      </c>
      <c r="F7" s="20">
        <f>F4-F6</f>
        <v/>
      </c>
      <c r="G7" s="20">
        <f>G4-G6</f>
        <v/>
      </c>
      <c r="H7" s="20">
        <f>H4-H6</f>
        <v/>
      </c>
      <c r="I7">
        <f>I4-I6</f>
        <v/>
      </c>
    </row>
    <row r="8">
      <c r="A8" s="8" t="inlineStr">
        <is>
          <t>Gross Margin %</t>
        </is>
      </c>
      <c r="B8" s="16">
        <f>B7/B4</f>
        <v/>
      </c>
      <c r="C8" s="16">
        <f>C7/C4</f>
        <v/>
      </c>
      <c r="D8" s="16">
        <f>D7/D4</f>
        <v/>
      </c>
      <c r="E8" s="17">
        <f>E7/E4</f>
        <v/>
      </c>
      <c r="F8" s="17">
        <f>F7/F4</f>
        <v/>
      </c>
      <c r="G8" s="17">
        <f>G7/G4</f>
        <v/>
      </c>
      <c r="H8" s="17">
        <f>H7/H4</f>
        <v/>
      </c>
      <c r="I8" s="16">
        <f>I7/I4</f>
        <v/>
      </c>
    </row>
    <row r="9">
      <c r="A9" s="8" t="inlineStr"/>
      <c r="E9" s="21" t="n"/>
      <c r="F9" s="21" t="n"/>
      <c r="G9" s="21" t="n"/>
      <c r="H9" s="21" t="n"/>
    </row>
    <row r="10">
      <c r="A10" s="8" t="inlineStr">
        <is>
          <t>(-) Sales &amp; Marketing</t>
        </is>
      </c>
      <c r="B10" s="14" t="n">
        <v>5111</v>
      </c>
      <c r="C10" s="14" t="n">
        <v>5277</v>
      </c>
      <c r="D10" s="14" t="n">
        <v>5722</v>
      </c>
      <c r="E10" s="15">
        <f>E4*Assumptions!E6</f>
        <v/>
      </c>
      <c r="F10" s="15">
        <f>F4*Assumptions!F6</f>
        <v/>
      </c>
      <c r="G10" s="15">
        <f>G4*Assumptions!G6</f>
        <v/>
      </c>
      <c r="H10" s="15">
        <f>H4*Assumptions!H6</f>
        <v/>
      </c>
      <c r="I10">
        <f>I4*Assumptions!I6</f>
        <v/>
      </c>
    </row>
    <row r="11">
      <c r="A11" s="8" t="inlineStr">
        <is>
          <t>(-) Research &amp; Development</t>
        </is>
      </c>
      <c r="B11" s="14" t="n">
        <v>5593</v>
      </c>
      <c r="C11" s="14" t="n">
        <v>5780</v>
      </c>
      <c r="D11" s="14" t="n">
        <v>6242</v>
      </c>
      <c r="E11" s="15">
        <f>E4*Assumptions!E7</f>
        <v/>
      </c>
      <c r="F11" s="15">
        <f>F4*Assumptions!F7</f>
        <v/>
      </c>
      <c r="G11" s="15">
        <f>G4*Assumptions!G7</f>
        <v/>
      </c>
      <c r="H11" s="15">
        <f>H4*Assumptions!H7</f>
        <v/>
      </c>
      <c r="I11">
        <f>I4*Assumptions!I7</f>
        <v/>
      </c>
    </row>
    <row r="12">
      <c r="A12" s="8" t="inlineStr">
        <is>
          <t>(-) General &amp; Administrative</t>
        </is>
      </c>
      <c r="B12" s="14" t="n">
        <v>2833</v>
      </c>
      <c r="C12" s="14" t="n">
        <v>2643</v>
      </c>
      <c r="D12" s="14" t="n">
        <v>2861</v>
      </c>
      <c r="E12" s="15">
        <f>E4*Assumptions!E8</f>
        <v/>
      </c>
      <c r="F12" s="15">
        <f>F4*Assumptions!F8</f>
        <v/>
      </c>
      <c r="G12" s="15">
        <f>G4*Assumptions!G8</f>
        <v/>
      </c>
      <c r="H12" s="15">
        <f>H4*Assumptions!H8</f>
        <v/>
      </c>
      <c r="I12">
        <f>I4*Assumptions!I8</f>
        <v/>
      </c>
    </row>
    <row r="13">
      <c r="A13" s="22" t="inlineStr">
        <is>
          <t>Total Operating Expenses</t>
        </is>
      </c>
      <c r="B13" s="23">
        <f>B10+B11+B12</f>
        <v/>
      </c>
      <c r="C13" s="23">
        <f>C10+C11+C12</f>
        <v/>
      </c>
      <c r="D13" s="23">
        <f>D10+D11+D12</f>
        <v/>
      </c>
      <c r="E13" s="24">
        <f>E10+E11+E12</f>
        <v/>
      </c>
      <c r="F13" s="24">
        <f>F10+F11+F12</f>
        <v/>
      </c>
      <c r="G13" s="24">
        <f>G10+G11+G12</f>
        <v/>
      </c>
      <c r="H13" s="24">
        <f>H10+H11+H12</f>
        <v/>
      </c>
      <c r="I13">
        <f>I10+I11+I12</f>
        <v/>
      </c>
    </row>
    <row r="14">
      <c r="A14" s="8" t="inlineStr"/>
      <c r="E14" s="21" t="n"/>
      <c r="F14" s="21" t="n"/>
      <c r="G14" s="21" t="n"/>
      <c r="H14" s="21" t="n"/>
    </row>
    <row r="15">
      <c r="A15" s="18" t="inlineStr">
        <is>
          <t>Operating Income (EBIT)</t>
        </is>
      </c>
      <c r="B15" s="19">
        <f>B7-B13</f>
        <v/>
      </c>
      <c r="C15" s="19">
        <f>C7-C13</f>
        <v/>
      </c>
      <c r="D15" s="19">
        <f>D7-D13</f>
        <v/>
      </c>
      <c r="E15" s="20">
        <f>E7-E13</f>
        <v/>
      </c>
      <c r="F15" s="20">
        <f>F7-F13</f>
        <v/>
      </c>
      <c r="G15" s="20">
        <f>G7-G13</f>
        <v/>
      </c>
      <c r="H15" s="20">
        <f>H7-H13</f>
        <v/>
      </c>
      <c r="I15">
        <f>I7-I13</f>
        <v/>
      </c>
    </row>
    <row r="16">
      <c r="A16" s="8" t="inlineStr">
        <is>
          <t>Operating Margin %</t>
        </is>
      </c>
      <c r="B16" s="16">
        <f>B15/B4</f>
        <v/>
      </c>
      <c r="C16" s="16">
        <f>C15/C4</f>
        <v/>
      </c>
      <c r="D16" s="16">
        <f>D15/D4</f>
        <v/>
      </c>
      <c r="E16" s="17">
        <f>E15/E4</f>
        <v/>
      </c>
      <c r="F16" s="17">
        <f>F15/F4</f>
        <v/>
      </c>
      <c r="G16" s="17">
        <f>G15/G4</f>
        <v/>
      </c>
      <c r="H16" s="17">
        <f>H15/H4</f>
        <v/>
      </c>
      <c r="I16" s="16">
        <f>I15/I4</f>
        <v/>
      </c>
    </row>
    <row r="17">
      <c r="A17" s="8" t="inlineStr"/>
      <c r="E17" s="21" t="n"/>
      <c r="F17" s="21" t="n"/>
      <c r="G17" s="21" t="n"/>
      <c r="H17" s="21" t="n"/>
    </row>
    <row r="18">
      <c r="A18" s="8" t="inlineStr">
        <is>
          <t>(-) Interest Expense</t>
        </is>
      </c>
      <c r="B18" s="14" t="n">
        <v>633</v>
      </c>
      <c r="C18" s="14" t="n">
        <v>466</v>
      </c>
      <c r="D18" s="14" t="n">
        <v>380</v>
      </c>
      <c r="E18" s="25">
        <f>'Balance Sheet'!E20*Assumptions!E17</f>
        <v/>
      </c>
      <c r="F18" s="25">
        <f>'Balance Sheet'!F20*Assumptions!F17</f>
        <v/>
      </c>
      <c r="G18" s="25">
        <f>'Balance Sheet'!G20*Assumptions!G17</f>
        <v/>
      </c>
      <c r="H18" s="25">
        <f>'Balance Sheet'!H20*Assumptions!H17</f>
        <v/>
      </c>
      <c r="I18" s="26">
        <f>'Balance Sheet'!I20*Assumptions!I17</f>
        <v/>
      </c>
    </row>
    <row r="19">
      <c r="A19" s="8" t="inlineStr">
        <is>
          <t>(+) Other Income / (Expense)</t>
        </is>
      </c>
      <c r="B19" s="14" t="n">
        <v>-2676</v>
      </c>
      <c r="C19" s="14" t="n">
        <v>7146</v>
      </c>
      <c r="D19" s="14" t="n">
        <v>5238</v>
      </c>
      <c r="E19" s="27" t="n">
        <v>300</v>
      </c>
      <c r="F19" s="27" t="n">
        <v>300</v>
      </c>
      <c r="G19" s="27" t="n">
        <v>300</v>
      </c>
      <c r="H19" s="27" t="n">
        <v>300</v>
      </c>
      <c r="I19" s="28" t="n">
        <v>300</v>
      </c>
    </row>
    <row r="20">
      <c r="A20" s="22" t="inlineStr">
        <is>
          <t>Pre-Tax Income</t>
        </is>
      </c>
      <c r="B20" s="23">
        <f>B15-B18+B19</f>
        <v/>
      </c>
      <c r="C20" s="23">
        <f>C15-C18+C19</f>
        <v/>
      </c>
      <c r="D20" s="23">
        <f>D15-D18+D19</f>
        <v/>
      </c>
      <c r="E20" s="24">
        <f>E15-E18+E19</f>
        <v/>
      </c>
      <c r="F20" s="24">
        <f>F15-F18+F19</f>
        <v/>
      </c>
      <c r="G20" s="24">
        <f>G15-G18+G19</f>
        <v/>
      </c>
      <c r="H20" s="24">
        <f>H15-H18+H19</f>
        <v/>
      </c>
      <c r="I20">
        <f>I15-I18+I19</f>
        <v/>
      </c>
    </row>
    <row r="21">
      <c r="A21" s="8" t="inlineStr">
        <is>
          <t>(-) Income Tax</t>
        </is>
      </c>
      <c r="B21" s="29">
        <f>B20*Assumptions!B10</f>
        <v/>
      </c>
      <c r="C21" s="29">
        <f>C20*Assumptions!C10</f>
        <v/>
      </c>
      <c r="D21" s="29">
        <f>D20*Assumptions!D10</f>
        <v/>
      </c>
      <c r="E21" s="15">
        <f>E20*Assumptions!E10</f>
        <v/>
      </c>
      <c r="F21" s="15">
        <f>F20*Assumptions!F10</f>
        <v/>
      </c>
      <c r="G21" s="15">
        <f>G20*Assumptions!G10</f>
        <v/>
      </c>
      <c r="H21" s="15">
        <f>H20*Assumptions!H10</f>
        <v/>
      </c>
      <c r="I21">
        <f>I20*Assumptions!I10</f>
        <v/>
      </c>
    </row>
    <row r="22">
      <c r="A22" s="8" t="inlineStr">
        <is>
          <t>Effective Tax Rate</t>
        </is>
      </c>
      <c r="B22" s="16">
        <f>IF(B20=0,0,B21/B20)</f>
        <v/>
      </c>
      <c r="C22" s="16">
        <f>IF(C20=0,0,C21/C20)</f>
        <v/>
      </c>
      <c r="D22" s="16">
        <f>IF(D20=0,0,D21/D20)</f>
        <v/>
      </c>
      <c r="E22" s="17">
        <f>IF(E20=0,0,E21/E20)</f>
        <v/>
      </c>
      <c r="F22" s="17">
        <f>IF(F20=0,0,F21/F20)</f>
        <v/>
      </c>
      <c r="G22" s="17">
        <f>IF(G20=0,0,G21/G20)</f>
        <v/>
      </c>
      <c r="H22" s="17">
        <f>IF(H20=0,0,H21/H20)</f>
        <v/>
      </c>
      <c r="I22" s="16">
        <f>IF(I20=0,0,I21/I20)</f>
        <v/>
      </c>
    </row>
    <row r="23">
      <c r="A23" s="18" t="inlineStr">
        <is>
          <t>Net Income</t>
        </is>
      </c>
      <c r="B23" s="19">
        <f>B20-B21</f>
        <v/>
      </c>
      <c r="C23" s="19">
        <f>C20-C21</f>
        <v/>
      </c>
      <c r="D23" s="19">
        <f>D20-D21</f>
        <v/>
      </c>
      <c r="E23" s="20">
        <f>E20-E21</f>
        <v/>
      </c>
      <c r="F23" s="20">
        <f>F20-F21</f>
        <v/>
      </c>
      <c r="G23" s="20">
        <f>G20-G21</f>
        <v/>
      </c>
      <c r="H23" s="20">
        <f>H20-H21</f>
        <v/>
      </c>
      <c r="I23">
        <f>I20-I21</f>
        <v/>
      </c>
    </row>
    <row r="24">
      <c r="A24" s="8" t="inlineStr">
        <is>
          <t>Net Margin %</t>
        </is>
      </c>
      <c r="B24" s="16">
        <f>B23/B4</f>
        <v/>
      </c>
      <c r="C24" s="16">
        <f>C23/C4</f>
        <v/>
      </c>
      <c r="D24" s="16">
        <f>D23/D4</f>
        <v/>
      </c>
      <c r="E24" s="17">
        <f>E23/E4</f>
        <v/>
      </c>
      <c r="F24" s="17">
        <f>F23/F4</f>
        <v/>
      </c>
      <c r="G24" s="17">
        <f>G23/G4</f>
        <v/>
      </c>
      <c r="H24" s="17">
        <f>H23/H4</f>
        <v/>
      </c>
      <c r="I24" s="16">
        <f>I23/I4</f>
        <v/>
      </c>
    </row>
    <row r="25">
      <c r="A25" s="8" t="inlineStr"/>
      <c r="E25" s="21" t="n"/>
      <c r="F25" s="21" t="n"/>
      <c r="G25" s="21" t="n"/>
      <c r="H25" s="21" t="n"/>
    </row>
    <row r="26">
      <c r="A26" s="13" t="inlineStr">
        <is>
          <t>EPS (Diluted)</t>
        </is>
      </c>
      <c r="B26" s="30">
        <f>B23/Assumptions!B18</f>
        <v/>
      </c>
      <c r="C26" s="30">
        <f>C23/Assumptions!C18</f>
        <v/>
      </c>
      <c r="D26" s="30">
        <f>D23/Assumptions!D18</f>
        <v/>
      </c>
      <c r="E26" s="31">
        <f>E23/Assumptions!E18</f>
        <v/>
      </c>
      <c r="F26" s="31">
        <f>F23/Assumptions!F18</f>
        <v/>
      </c>
      <c r="G26" s="31">
        <f>G23/Assumptions!G18</f>
        <v/>
      </c>
      <c r="H26" s="31">
        <f>H23/Assumptions!H18</f>
        <v/>
      </c>
      <c r="I26" s="30">
        <f>I23/Assumptions!I18</f>
        <v/>
      </c>
    </row>
    <row r="27">
      <c r="A27" s="22" t="inlineStr">
        <is>
          <t>EBITDA</t>
        </is>
      </c>
      <c r="B27" s="23">
        <f>B15+B4*Assumptions!B9</f>
        <v/>
      </c>
      <c r="C27" s="23">
        <f>C15+C4*Assumptions!C9</f>
        <v/>
      </c>
      <c r="D27" s="23">
        <f>D15+D4*Assumptions!D9</f>
        <v/>
      </c>
      <c r="E27" s="24">
        <f>E15+E4*Assumptions!E9</f>
        <v/>
      </c>
      <c r="F27" s="24">
        <f>F15+F4*Assumptions!F9</f>
        <v/>
      </c>
      <c r="G27" s="24">
        <f>G15+G4*Assumptions!G9</f>
        <v/>
      </c>
      <c r="H27" s="24">
        <f>H15+H4*Assumptions!H9</f>
        <v/>
      </c>
      <c r="I27">
        <f>I15+I4*Assumptions!I9</f>
        <v/>
      </c>
    </row>
    <row r="28">
      <c r="A28" s="8" t="inlineStr">
        <is>
          <t>EBITDA Margin %</t>
        </is>
      </c>
      <c r="B28" s="16">
        <f>B27/B4</f>
        <v/>
      </c>
      <c r="C28" s="16">
        <f>C27/C4</f>
        <v/>
      </c>
      <c r="D28" s="16">
        <f>D27/D4</f>
        <v/>
      </c>
      <c r="E28" s="17">
        <f>E27/E4</f>
        <v/>
      </c>
      <c r="F28" s="17">
        <f>F27/F4</f>
        <v/>
      </c>
      <c r="G28" s="17">
        <f>G27/G4</f>
        <v/>
      </c>
      <c r="H28" s="17">
        <f>H27/H4</f>
        <v/>
      </c>
      <c r="I28" s="16">
        <f>I27/I4</f>
        <v/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3D7AB5"/>
    <outlinePr summaryBelow="1" summaryRight="1"/>
    <pageSetUpPr/>
  </sheetPr>
  <dimension ref="A1:I30"/>
  <sheetViews>
    <sheetView workbookViewId="0">
      <selection activeCell="A1" sqref="A1"/>
    </sheetView>
  </sheetViews>
  <sheetFormatPr baseColWidth="8" defaultRowHeight="15"/>
  <cols>
    <col width="30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</cols>
  <sheetData>
    <row r="1">
      <c r="A1" s="1" t="inlineStr">
        <is>
          <t>Balance Sheet — UBER ($M)</t>
        </is>
      </c>
    </row>
    <row r="3">
      <c r="A3" s="2" t="inlineStr"/>
      <c r="B3" s="2" t="inlineStr">
        <is>
          <t>2023A</t>
        </is>
      </c>
      <c r="C3" s="2" t="inlineStr">
        <is>
          <t>2024A</t>
        </is>
      </c>
      <c r="D3" s="2" t="inlineStr">
        <is>
          <t>2025A</t>
        </is>
      </c>
      <c r="E3" s="2" t="inlineStr">
        <is>
          <t>2026E</t>
        </is>
      </c>
      <c r="F3" s="2" t="inlineStr">
        <is>
          <t>2027E</t>
        </is>
      </c>
      <c r="G3" s="2" t="inlineStr">
        <is>
          <t>2028E</t>
        </is>
      </c>
      <c r="H3" s="2" t="inlineStr">
        <is>
          <t>2029E</t>
        </is>
      </c>
      <c r="I3" s="2" t="inlineStr">
        <is>
          <t>2030E</t>
        </is>
      </c>
    </row>
    <row r="4">
      <c r="A4" s="13" t="inlineStr">
        <is>
          <t>ASSETS</t>
        </is>
      </c>
    </row>
    <row r="5">
      <c r="A5" s="8" t="inlineStr">
        <is>
          <t>Cash &amp; Equivalents</t>
        </is>
      </c>
      <c r="B5" s="14" t="n">
        <v>4680</v>
      </c>
      <c r="C5" s="14" t="n">
        <v>5470</v>
      </c>
      <c r="D5" s="14" t="n">
        <v>7000</v>
      </c>
      <c r="E5" s="32">
        <f>D5+'Cash Flow'!E19</f>
        <v/>
      </c>
      <c r="F5" s="32">
        <f>E5+'Cash Flow'!F19</f>
        <v/>
      </c>
      <c r="G5" s="32">
        <f>F5+'Cash Flow'!G19</f>
        <v/>
      </c>
      <c r="H5" s="32">
        <f>G5+'Cash Flow'!H19</f>
        <v/>
      </c>
      <c r="I5" s="26">
        <f>H5+'Cash Flow'!I19</f>
        <v/>
      </c>
    </row>
    <row r="6">
      <c r="A6" s="8" t="inlineStr">
        <is>
          <t>Short-Term Investments</t>
        </is>
      </c>
      <c r="B6" s="14" t="n">
        <v>1500</v>
      </c>
      <c r="C6" s="14" t="n">
        <v>1700</v>
      </c>
      <c r="D6" s="14" t="n">
        <v>2000</v>
      </c>
      <c r="E6" s="29">
        <f>D6*1.05</f>
        <v/>
      </c>
      <c r="F6" s="29">
        <f>E6*1.05</f>
        <v/>
      </c>
      <c r="G6" s="29">
        <f>F6*1.05</f>
        <v/>
      </c>
      <c r="H6" s="29">
        <f>G6*1.05</f>
        <v/>
      </c>
      <c r="I6">
        <f>H6*1.05</f>
        <v/>
      </c>
    </row>
    <row r="7">
      <c r="A7" s="8" t="inlineStr">
        <is>
          <t>Accounts Receivable</t>
        </is>
      </c>
      <c r="B7" s="14" t="n">
        <v>2560</v>
      </c>
      <c r="C7" s="14" t="n">
        <v>2890</v>
      </c>
      <c r="D7" s="14" t="n">
        <v>3280</v>
      </c>
      <c r="E7" s="29">
        <f>'Income Statement'!E4*Assumptions!E13/365</f>
        <v/>
      </c>
      <c r="F7" s="29">
        <f>'Income Statement'!F4*Assumptions!F13/365</f>
        <v/>
      </c>
      <c r="G7" s="29">
        <f>'Income Statement'!G4*Assumptions!G13/365</f>
        <v/>
      </c>
      <c r="H7" s="29">
        <f>'Income Statement'!H4*Assumptions!H13/365</f>
        <v/>
      </c>
      <c r="I7">
        <f>'Income Statement'!I4*Assumptions!I13/365</f>
        <v/>
      </c>
    </row>
    <row r="8">
      <c r="A8" s="8" t="inlineStr">
        <is>
          <t>Other Current Assets</t>
        </is>
      </c>
      <c r="B8" s="14" t="n">
        <v>1800</v>
      </c>
      <c r="C8" s="14" t="n">
        <v>2100</v>
      </c>
      <c r="D8" s="14" t="n">
        <v>2500</v>
      </c>
      <c r="E8" s="29">
        <f>D8*1.05</f>
        <v/>
      </c>
      <c r="F8" s="29">
        <f>E8*1.05</f>
        <v/>
      </c>
      <c r="G8" s="29">
        <f>F8*1.05</f>
        <v/>
      </c>
      <c r="H8" s="29">
        <f>G8*1.05</f>
        <v/>
      </c>
      <c r="I8">
        <f>H8*1.05</f>
        <v/>
      </c>
    </row>
    <row r="9">
      <c r="A9" s="13" t="inlineStr">
        <is>
          <t>Total Current Assets</t>
        </is>
      </c>
      <c r="B9" s="33">
        <f>SUM(B5:B8)</f>
        <v/>
      </c>
      <c r="C9" s="33">
        <f>SUM(C5:C8)</f>
        <v/>
      </c>
      <c r="D9" s="33">
        <f>SUM(D5:D8)</f>
        <v/>
      </c>
      <c r="E9" s="33">
        <f>SUM(E5:E8)</f>
        <v/>
      </c>
      <c r="F9" s="33">
        <f>SUM(F5:F8)</f>
        <v/>
      </c>
      <c r="G9" s="33">
        <f>SUM(G5:G8)</f>
        <v/>
      </c>
      <c r="H9" s="33">
        <f>SUM(H5:H8)</f>
        <v/>
      </c>
      <c r="I9">
        <f>SUM(I5:I8)</f>
        <v/>
      </c>
    </row>
    <row r="10">
      <c r="A10" s="8" t="inlineStr"/>
    </row>
    <row r="11">
      <c r="A11" s="8" t="inlineStr">
        <is>
          <t>PP&amp;E (net)</t>
        </is>
      </c>
      <c r="B11" s="14" t="n">
        <v>2370</v>
      </c>
      <c r="C11" s="14" t="n">
        <v>2550</v>
      </c>
      <c r="D11" s="14" t="n">
        <v>2700</v>
      </c>
      <c r="E11" s="29">
        <f>D11+'Income Statement'!E4*Assumptions!E12-'Income Statement'!E4*Assumptions!E9</f>
        <v/>
      </c>
      <c r="F11" s="29">
        <f>E11+'Income Statement'!F4*Assumptions!F12-'Income Statement'!F4*Assumptions!F9</f>
        <v/>
      </c>
      <c r="G11" s="29">
        <f>F11+'Income Statement'!G4*Assumptions!G12-'Income Statement'!G4*Assumptions!G9</f>
        <v/>
      </c>
      <c r="H11" s="29">
        <f>G11+'Income Statement'!H4*Assumptions!H12-'Income Statement'!H4*Assumptions!H9</f>
        <v/>
      </c>
      <c r="I11">
        <f>H11+'Income Statement'!I4*Assumptions!I12-'Income Statement'!I4*Assumptions!I9</f>
        <v/>
      </c>
    </row>
    <row r="12">
      <c r="A12" s="8" t="inlineStr">
        <is>
          <t>Intangibles &amp; Goodwill</t>
        </is>
      </c>
      <c r="B12" s="14" t="n">
        <v>16175</v>
      </c>
      <c r="C12" s="14" t="n">
        <v>16270</v>
      </c>
      <c r="D12" s="14" t="n">
        <v>16300</v>
      </c>
      <c r="E12" s="29">
        <f>D12</f>
        <v/>
      </c>
      <c r="F12" s="29">
        <f>E12</f>
        <v/>
      </c>
      <c r="G12" s="29">
        <f>F12</f>
        <v/>
      </c>
      <c r="H12" s="29">
        <f>G12</f>
        <v/>
      </c>
      <c r="I12">
        <f>H12</f>
        <v/>
      </c>
    </row>
    <row r="13">
      <c r="A13" s="8" t="inlineStr">
        <is>
          <t>Equity Investments</t>
        </is>
      </c>
      <c r="B13" s="14" t="n">
        <v>12400</v>
      </c>
      <c r="C13" s="14" t="n">
        <v>14200</v>
      </c>
      <c r="D13" s="14" t="n">
        <v>15000</v>
      </c>
      <c r="E13" s="29">
        <f>D13*1.02</f>
        <v/>
      </c>
      <c r="F13" s="29">
        <f>E13*1.02</f>
        <v/>
      </c>
      <c r="G13" s="29">
        <f>F13*1.02</f>
        <v/>
      </c>
      <c r="H13" s="29">
        <f>G13*1.02</f>
        <v/>
      </c>
      <c r="I13">
        <f>H13*1.02</f>
        <v/>
      </c>
    </row>
    <row r="14">
      <c r="A14" s="8" t="inlineStr">
        <is>
          <t>Other Non-Current Assets</t>
        </is>
      </c>
      <c r="B14" s="14" t="n">
        <v>6715</v>
      </c>
      <c r="C14" s="14" t="n">
        <v>7320</v>
      </c>
      <c r="D14" s="14" t="n">
        <v>7520</v>
      </c>
      <c r="E14" s="29">
        <f>D14*1.03</f>
        <v/>
      </c>
      <c r="F14" s="29">
        <f>E14*1.03</f>
        <v/>
      </c>
      <c r="G14" s="29">
        <f>F14*1.03</f>
        <v/>
      </c>
      <c r="H14" s="29">
        <f>G14*1.03</f>
        <v/>
      </c>
      <c r="I14">
        <f>H14*1.03</f>
        <v/>
      </c>
    </row>
    <row r="15">
      <c r="A15" s="13" t="inlineStr">
        <is>
          <t>Total Assets</t>
        </is>
      </c>
      <c r="B15" s="33">
        <f>B9+B11+B12+B13+B14</f>
        <v/>
      </c>
      <c r="C15" s="33">
        <f>C9+C11+C12+C13+C14</f>
        <v/>
      </c>
      <c r="D15" s="33">
        <f>D9+D11+D12+D13+D14</f>
        <v/>
      </c>
      <c r="E15" s="33">
        <f>E9+E11+E12+E13+E14</f>
        <v/>
      </c>
      <c r="F15" s="33">
        <f>F9+F11+F12+F13+F14</f>
        <v/>
      </c>
      <c r="G15" s="33">
        <f>G9+G11+G12+G13+G14</f>
        <v/>
      </c>
      <c r="H15" s="33">
        <f>H9+H11+H12+H13+H14</f>
        <v/>
      </c>
      <c r="I15">
        <f>I9+I11+I12+I13+I14</f>
        <v/>
      </c>
    </row>
    <row r="16">
      <c r="A16" s="8" t="inlineStr"/>
    </row>
    <row r="17">
      <c r="A17" s="13" t="inlineStr">
        <is>
          <t>LIABILITIES</t>
        </is>
      </c>
    </row>
    <row r="18">
      <c r="A18" s="8" t="inlineStr">
        <is>
          <t>Accounts Payable</t>
        </is>
      </c>
      <c r="B18" s="14" t="n">
        <v>3200</v>
      </c>
      <c r="C18" s="14" t="n">
        <v>3400</v>
      </c>
      <c r="D18" s="14" t="n">
        <v>3600</v>
      </c>
      <c r="E18" s="29">
        <f>'Income Statement'!E6*Assumptions!E14/365</f>
        <v/>
      </c>
      <c r="F18" s="29">
        <f>'Income Statement'!F6*Assumptions!F14/365</f>
        <v/>
      </c>
      <c r="G18" s="29">
        <f>'Income Statement'!G6*Assumptions!G14/365</f>
        <v/>
      </c>
      <c r="H18" s="29">
        <f>'Income Statement'!H6*Assumptions!H14/365</f>
        <v/>
      </c>
      <c r="I18">
        <f>'Income Statement'!I6*Assumptions!I14/365</f>
        <v/>
      </c>
    </row>
    <row r="19">
      <c r="A19" s="8" t="inlineStr">
        <is>
          <t>Accrued Liabilities</t>
        </is>
      </c>
      <c r="B19" s="14" t="n">
        <v>2237</v>
      </c>
      <c r="C19" s="14" t="n">
        <v>2550</v>
      </c>
      <c r="D19" s="14" t="n">
        <v>2860</v>
      </c>
      <c r="E19" s="29">
        <f>'Income Statement'!E4*Assumptions!E15</f>
        <v/>
      </c>
      <c r="F19" s="29">
        <f>'Income Statement'!F4*Assumptions!F15</f>
        <v/>
      </c>
      <c r="G19" s="29">
        <f>'Income Statement'!G4*Assumptions!G15</f>
        <v/>
      </c>
      <c r="H19" s="29">
        <f>'Income Statement'!H4*Assumptions!H15</f>
        <v/>
      </c>
      <c r="I19">
        <f>'Income Statement'!I4*Assumptions!I15</f>
        <v/>
      </c>
    </row>
    <row r="20">
      <c r="A20" s="8" t="inlineStr">
        <is>
          <t>Long-Term Debt</t>
        </is>
      </c>
      <c r="B20" s="14" t="n">
        <v>9400</v>
      </c>
      <c r="C20" s="14" t="n">
        <v>9800</v>
      </c>
      <c r="D20" s="14" t="n">
        <v>9500</v>
      </c>
      <c r="E20" s="14">
        <f>D20*0.97</f>
        <v/>
      </c>
      <c r="F20" s="14">
        <f>E20*0.97</f>
        <v/>
      </c>
      <c r="G20" s="14">
        <f>F20*0.97</f>
        <v/>
      </c>
      <c r="H20" s="14">
        <f>G20*0.97</f>
        <v/>
      </c>
      <c r="I20" s="28">
        <f>H20*0.97</f>
        <v/>
      </c>
    </row>
    <row r="21">
      <c r="A21" s="8" t="inlineStr">
        <is>
          <t>Operating Lease Liabilities</t>
        </is>
      </c>
      <c r="B21" s="14" t="n">
        <v>1500</v>
      </c>
      <c r="C21" s="14" t="n">
        <v>1600</v>
      </c>
      <c r="D21" s="14" t="n">
        <v>1700</v>
      </c>
      <c r="E21" s="29">
        <f>D21*1.02</f>
        <v/>
      </c>
      <c r="F21" s="29">
        <f>E21*1.02</f>
        <v/>
      </c>
      <c r="G21" s="29">
        <f>F21*1.02</f>
        <v/>
      </c>
      <c r="H21" s="29">
        <f>G21*1.02</f>
        <v/>
      </c>
      <c r="I21">
        <f>H21*1.02</f>
        <v/>
      </c>
    </row>
    <row r="22">
      <c r="A22" s="8" t="inlineStr">
        <is>
          <t>Other Liabilities</t>
        </is>
      </c>
      <c r="B22" s="14" t="n">
        <v>4800</v>
      </c>
      <c r="C22" s="14" t="n">
        <v>5200</v>
      </c>
      <c r="D22" s="14" t="n">
        <v>5540</v>
      </c>
      <c r="E22" s="29">
        <f>D22*1.03</f>
        <v/>
      </c>
      <c r="F22" s="29">
        <f>E22*1.03</f>
        <v/>
      </c>
      <c r="G22" s="29">
        <f>F22*1.03</f>
        <v/>
      </c>
      <c r="H22" s="29">
        <f>G22*1.03</f>
        <v/>
      </c>
      <c r="I22">
        <f>H22*1.03</f>
        <v/>
      </c>
    </row>
    <row r="23">
      <c r="A23" s="13" t="inlineStr">
        <is>
          <t>Total Liabilities</t>
        </is>
      </c>
      <c r="B23" s="33">
        <f>B18+B19+B20+B21+B22</f>
        <v/>
      </c>
      <c r="C23" s="33">
        <f>C18+C19+C20+C21+C22</f>
        <v/>
      </c>
      <c r="D23" s="33">
        <f>D18+D19+D20+D21+D22</f>
        <v/>
      </c>
      <c r="E23" s="33">
        <f>E18+E19+E20+E21+E22</f>
        <v/>
      </c>
      <c r="F23" s="33">
        <f>F18+F19+F20+F21+F22</f>
        <v/>
      </c>
      <c r="G23" s="33">
        <f>G18+G19+G20+G21+G22</f>
        <v/>
      </c>
      <c r="H23" s="33">
        <f>H18+H19+H20+H21+H22</f>
        <v/>
      </c>
      <c r="I23">
        <f>I18+I19+I20+I21+I22</f>
        <v/>
      </c>
    </row>
    <row r="24">
      <c r="A24" s="8" t="inlineStr"/>
    </row>
    <row r="25">
      <c r="A25" s="13" t="inlineStr">
        <is>
          <t>EQUITY</t>
        </is>
      </c>
    </row>
    <row r="26">
      <c r="A26" s="8" t="inlineStr">
        <is>
          <t>Retained Earnings</t>
        </is>
      </c>
      <c r="B26" s="34">
        <f>B15-B23-B27</f>
        <v/>
      </c>
      <c r="C26" s="34">
        <f>C15-C23-C27</f>
        <v/>
      </c>
      <c r="D26" s="34">
        <f>D15-D23-D27</f>
        <v/>
      </c>
      <c r="E26" s="29">
        <f>D26+'Income Statement'!E23</f>
        <v/>
      </c>
      <c r="F26" s="29">
        <f>E26+'Income Statement'!F23</f>
        <v/>
      </c>
      <c r="G26" s="29">
        <f>F26+'Income Statement'!G23</f>
        <v/>
      </c>
      <c r="H26" s="29">
        <f>G26+'Income Statement'!H23</f>
        <v/>
      </c>
      <c r="I26">
        <f>H26+'Income Statement'!I23</f>
        <v/>
      </c>
    </row>
    <row r="27">
      <c r="A27" s="8" t="inlineStr">
        <is>
          <t>Other Equity</t>
        </is>
      </c>
      <c r="B27" s="14" t="n">
        <v>20103</v>
      </c>
      <c r="C27" s="14" t="n">
        <v>23290</v>
      </c>
      <c r="D27" s="14" t="n">
        <v>28100</v>
      </c>
      <c r="E27" s="29">
        <f>D27</f>
        <v/>
      </c>
      <c r="F27" s="29">
        <f>E27</f>
        <v/>
      </c>
      <c r="G27" s="29">
        <f>F27</f>
        <v/>
      </c>
      <c r="H27" s="29">
        <f>G27</f>
        <v/>
      </c>
      <c r="I27">
        <f>H27</f>
        <v/>
      </c>
    </row>
    <row r="28">
      <c r="A28" s="13" t="inlineStr">
        <is>
          <t>Total Equity</t>
        </is>
      </c>
      <c r="B28" s="33">
        <f>B26+B27</f>
        <v/>
      </c>
      <c r="C28" s="33">
        <f>C26+C27</f>
        <v/>
      </c>
      <c r="D28" s="33">
        <f>D26+D27</f>
        <v/>
      </c>
      <c r="E28" s="33">
        <f>E26+E27</f>
        <v/>
      </c>
      <c r="F28" s="33">
        <f>F26+F27</f>
        <v/>
      </c>
      <c r="G28" s="33">
        <f>G26+G27</f>
        <v/>
      </c>
      <c r="H28" s="33">
        <f>H26+H27</f>
        <v/>
      </c>
      <c r="I28">
        <f>I26+I27</f>
        <v/>
      </c>
    </row>
    <row r="29">
      <c r="A29" s="13" t="inlineStr">
        <is>
          <t>Total Liab. + Equity</t>
        </is>
      </c>
      <c r="B29" s="33">
        <f>B23+B28</f>
        <v/>
      </c>
      <c r="C29" s="33">
        <f>C23+C28</f>
        <v/>
      </c>
      <c r="D29" s="33">
        <f>D23+D28</f>
        <v/>
      </c>
      <c r="E29" s="33">
        <f>E23+E28</f>
        <v/>
      </c>
      <c r="F29" s="33">
        <f>F23+F28</f>
        <v/>
      </c>
      <c r="G29" s="33">
        <f>G23+G28</f>
        <v/>
      </c>
      <c r="H29" s="33">
        <f>H23+H28</f>
        <v/>
      </c>
      <c r="I29">
        <f>I23+I28</f>
        <v/>
      </c>
    </row>
    <row r="30">
      <c r="A30" s="8" t="inlineStr">
        <is>
          <t>Balance Check (should be 0)</t>
        </is>
      </c>
      <c r="B30" s="29">
        <f>B15-B29</f>
        <v/>
      </c>
      <c r="C30" s="29">
        <f>C15-C29</f>
        <v/>
      </c>
      <c r="D30" s="29">
        <f>D15-D29</f>
        <v/>
      </c>
      <c r="E30" s="29">
        <f>E15-E29</f>
        <v/>
      </c>
      <c r="F30" s="29">
        <f>F15-F29</f>
        <v/>
      </c>
      <c r="G30" s="29">
        <f>G15-G29</f>
        <v/>
      </c>
      <c r="H30" s="29">
        <f>H15-H29</f>
        <v/>
      </c>
      <c r="I30" s="29">
        <f>I15-I29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004A90D9"/>
    <outlinePr summaryBelow="1" summaryRight="1"/>
    <pageSetUpPr/>
  </sheetPr>
  <dimension ref="A1:I19"/>
  <sheetViews>
    <sheetView workbookViewId="0">
      <selection activeCell="A1" sqref="A1"/>
    </sheetView>
  </sheetViews>
  <sheetFormatPr baseColWidth="8" defaultRowHeight="15"/>
  <cols>
    <col width="30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</cols>
  <sheetData>
    <row r="1">
      <c r="A1" s="1" t="inlineStr">
        <is>
          <t>Cash Flow Statement — UBER ($M)</t>
        </is>
      </c>
    </row>
    <row r="3">
      <c r="A3" s="2" t="inlineStr"/>
      <c r="B3" s="2" t="inlineStr">
        <is>
          <t>2023A</t>
        </is>
      </c>
      <c r="C3" s="2" t="inlineStr">
        <is>
          <t>2024A</t>
        </is>
      </c>
      <c r="D3" s="2" t="inlineStr">
        <is>
          <t>2025A</t>
        </is>
      </c>
      <c r="E3" s="2" t="inlineStr">
        <is>
          <t>2026E</t>
        </is>
      </c>
      <c r="F3" s="2" t="inlineStr">
        <is>
          <t>2027E</t>
        </is>
      </c>
      <c r="G3" s="2" t="inlineStr">
        <is>
          <t>2028E</t>
        </is>
      </c>
      <c r="H3" s="2" t="inlineStr">
        <is>
          <t>2029E</t>
        </is>
      </c>
      <c r="I3" s="2" t="inlineStr">
        <is>
          <t>2030E</t>
        </is>
      </c>
    </row>
    <row r="4">
      <c r="A4" s="13" t="inlineStr">
        <is>
          <t>OPERATING ACTIVITIES</t>
        </is>
      </c>
    </row>
    <row r="5">
      <c r="A5" s="8" t="inlineStr">
        <is>
          <t>Net Income</t>
        </is>
      </c>
      <c r="B5" s="32">
        <f>'Income Statement'!B23</f>
        <v/>
      </c>
      <c r="C5" s="32">
        <f>'Income Statement'!C23</f>
        <v/>
      </c>
      <c r="D5" s="32">
        <f>'Income Statement'!D23</f>
        <v/>
      </c>
      <c r="E5" s="32">
        <f>'Income Statement'!E23</f>
        <v/>
      </c>
      <c r="F5" s="32">
        <f>'Income Statement'!F23</f>
        <v/>
      </c>
      <c r="G5" s="32">
        <f>'Income Statement'!G23</f>
        <v/>
      </c>
      <c r="H5" s="32">
        <f>'Income Statement'!H23</f>
        <v/>
      </c>
      <c r="I5" s="26">
        <f>'Income Statement'!I23</f>
        <v/>
      </c>
    </row>
    <row r="6">
      <c r="A6" s="8" t="inlineStr">
        <is>
          <t>(+) Depreciation &amp; Amortization</t>
        </is>
      </c>
      <c r="B6" s="29">
        <f>'Income Statement'!B4*Assumptions!B9</f>
        <v/>
      </c>
      <c r="C6" s="29">
        <f>'Income Statement'!C4*Assumptions!C9</f>
        <v/>
      </c>
      <c r="D6" s="29">
        <f>'Income Statement'!D4*Assumptions!D9</f>
        <v/>
      </c>
      <c r="E6" s="29">
        <f>'Income Statement'!E4*Assumptions!E9</f>
        <v/>
      </c>
      <c r="F6" s="29">
        <f>'Income Statement'!F4*Assumptions!F9</f>
        <v/>
      </c>
      <c r="G6" s="29">
        <f>'Income Statement'!G4*Assumptions!G9</f>
        <v/>
      </c>
      <c r="H6" s="29">
        <f>'Income Statement'!H4*Assumptions!H9</f>
        <v/>
      </c>
      <c r="I6">
        <f>'Income Statement'!I4*Assumptions!I9</f>
        <v/>
      </c>
    </row>
    <row r="7">
      <c r="A7" s="8" t="inlineStr">
        <is>
          <t>Changes in Working Capital</t>
        </is>
      </c>
      <c r="B7" s="29" t="n"/>
      <c r="C7" s="29" t="n"/>
      <c r="D7" s="29" t="n"/>
      <c r="E7" s="29">
        <f>E8+E9+E10+E11</f>
        <v/>
      </c>
      <c r="F7" s="29">
        <f>F8+F9+F10+F11</f>
        <v/>
      </c>
      <c r="G7" s="29">
        <f>G8+G9+G10+G11</f>
        <v/>
      </c>
      <c r="H7" s="29">
        <f>H8+H9+H10+H11</f>
        <v/>
      </c>
      <c r="I7">
        <f>I8+I9+I10+I11</f>
        <v/>
      </c>
    </row>
    <row r="8">
      <c r="A8" s="8" t="inlineStr">
        <is>
          <t xml:space="preserve">  Change in AR</t>
        </is>
      </c>
      <c r="B8" s="29" t="n"/>
      <c r="C8" s="29" t="n"/>
      <c r="D8" s="29" t="n"/>
      <c r="E8" s="29">
        <f>-('Balance Sheet'!E7-'Balance Sheet'!D7)</f>
        <v/>
      </c>
      <c r="F8" s="29">
        <f>-('Balance Sheet'!F7-'Balance Sheet'!E7)</f>
        <v/>
      </c>
      <c r="G8" s="29">
        <f>-('Balance Sheet'!G7-'Balance Sheet'!F7)</f>
        <v/>
      </c>
      <c r="H8" s="29">
        <f>-('Balance Sheet'!H7-'Balance Sheet'!G7)</f>
        <v/>
      </c>
      <c r="I8">
        <f>-('Balance Sheet'!I7-'Balance Sheet'!H7)</f>
        <v/>
      </c>
    </row>
    <row r="9">
      <c r="A9" s="8" t="inlineStr">
        <is>
          <t xml:space="preserve">  Change in AP</t>
        </is>
      </c>
      <c r="B9" s="29" t="n"/>
      <c r="C9" s="29" t="n"/>
      <c r="D9" s="29" t="n"/>
      <c r="E9" s="29">
        <f>'Balance Sheet'!E18-'Balance Sheet'!D18</f>
        <v/>
      </c>
      <c r="F9" s="29">
        <f>'Balance Sheet'!F18-'Balance Sheet'!E18</f>
        <v/>
      </c>
      <c r="G9" s="29">
        <f>'Balance Sheet'!G18-'Balance Sheet'!F18</f>
        <v/>
      </c>
      <c r="H9" s="29">
        <f>'Balance Sheet'!H18-'Balance Sheet'!G18</f>
        <v/>
      </c>
      <c r="I9">
        <f>'Balance Sheet'!I18-'Balance Sheet'!H18</f>
        <v/>
      </c>
    </row>
    <row r="10">
      <c r="A10" s="8" t="inlineStr">
        <is>
          <t xml:space="preserve">  Change in Accrued Liab</t>
        </is>
      </c>
      <c r="B10" s="29" t="n"/>
      <c r="C10" s="29" t="n"/>
      <c r="D10" s="29" t="n"/>
      <c r="E10" s="29">
        <f>'Balance Sheet'!E19-'Balance Sheet'!D19</f>
        <v/>
      </c>
      <c r="F10" s="29">
        <f>'Balance Sheet'!F19-'Balance Sheet'!E19</f>
        <v/>
      </c>
      <c r="G10" s="29">
        <f>'Balance Sheet'!G19-'Balance Sheet'!F19</f>
        <v/>
      </c>
      <c r="H10" s="29">
        <f>'Balance Sheet'!H19-'Balance Sheet'!G19</f>
        <v/>
      </c>
      <c r="I10">
        <f>'Balance Sheet'!I19-'Balance Sheet'!H19</f>
        <v/>
      </c>
    </row>
    <row r="11">
      <c r="A11" s="8" t="inlineStr">
        <is>
          <t xml:space="preserve">  Other Operating Changes</t>
        </is>
      </c>
      <c r="B11" s="29" t="n"/>
      <c r="C11" s="29" t="n"/>
      <c r="D11" s="29" t="n"/>
      <c r="E11" s="14" t="n">
        <v>0</v>
      </c>
      <c r="F11" s="14" t="n">
        <v>0</v>
      </c>
      <c r="G11" s="14" t="n">
        <v>0</v>
      </c>
      <c r="H11" s="14" t="n">
        <v>0</v>
      </c>
      <c r="I11" s="28" t="n">
        <v>0</v>
      </c>
    </row>
    <row r="12">
      <c r="A12" s="13" t="inlineStr">
        <is>
          <t>Cash from Operations (CFO)</t>
        </is>
      </c>
      <c r="B12" s="33" t="n">
        <v>3585</v>
      </c>
      <c r="C12" s="33" t="n">
        <v>6903</v>
      </c>
      <c r="D12" s="33" t="n">
        <v>9760</v>
      </c>
      <c r="E12" s="33">
        <f>E5+E6+E7</f>
        <v/>
      </c>
      <c r="F12" s="33">
        <f>F5+F6+F7</f>
        <v/>
      </c>
      <c r="G12" s="33">
        <f>G5+G6+G7</f>
        <v/>
      </c>
      <c r="H12" s="33">
        <f>H5+H6+H7</f>
        <v/>
      </c>
      <c r="I12">
        <f>I5+I6+I7</f>
        <v/>
      </c>
    </row>
    <row r="13">
      <c r="A13" s="8" t="inlineStr"/>
    </row>
    <row r="14">
      <c r="A14" s="13" t="inlineStr">
        <is>
          <t>INVESTING ACTIVITIES</t>
        </is>
      </c>
    </row>
    <row r="15">
      <c r="A15" s="8" t="inlineStr">
        <is>
          <t>(-) Capital Expenditures</t>
        </is>
      </c>
      <c r="B15" s="14" t="n">
        <v>600</v>
      </c>
      <c r="C15" s="14" t="n">
        <v>650</v>
      </c>
      <c r="D15" s="14" t="n">
        <v>700</v>
      </c>
      <c r="E15" s="29">
        <f>'Income Statement'!E4*Assumptions!E12</f>
        <v/>
      </c>
      <c r="F15" s="29">
        <f>'Income Statement'!F4*Assumptions!F12</f>
        <v/>
      </c>
      <c r="G15" s="29">
        <f>'Income Statement'!G4*Assumptions!G12</f>
        <v/>
      </c>
      <c r="H15" s="29">
        <f>'Income Statement'!H4*Assumptions!H12</f>
        <v/>
      </c>
      <c r="I15">
        <f>'Income Statement'!I4*Assumptions!I12</f>
        <v/>
      </c>
    </row>
    <row r="16">
      <c r="A16" s="8" t="inlineStr">
        <is>
          <t>(-) Other Investing</t>
        </is>
      </c>
      <c r="B16" s="14" t="n">
        <v>-500</v>
      </c>
      <c r="C16" s="14" t="n">
        <v>-500</v>
      </c>
      <c r="D16" s="14" t="n">
        <v>-500</v>
      </c>
      <c r="E16" s="14" t="n">
        <v>-300</v>
      </c>
      <c r="F16" s="14" t="n">
        <v>-300</v>
      </c>
      <c r="G16" s="14" t="n">
        <v>-300</v>
      </c>
      <c r="H16" s="14" t="n">
        <v>-300</v>
      </c>
      <c r="I16" s="28" t="n">
        <v>-300</v>
      </c>
    </row>
    <row r="17">
      <c r="A17" s="13" t="inlineStr">
        <is>
          <t>Cash from Investing (CFI)</t>
        </is>
      </c>
      <c r="B17" s="33">
        <f>-B15+B16</f>
        <v/>
      </c>
      <c r="C17" s="33">
        <f>-C15+C16</f>
        <v/>
      </c>
      <c r="D17" s="33">
        <f>-D15+D16</f>
        <v/>
      </c>
      <c r="E17" s="33">
        <f>-E15+E16</f>
        <v/>
      </c>
      <c r="F17" s="33">
        <f>-F15+F16</f>
        <v/>
      </c>
      <c r="G17" s="33">
        <f>-G15+G16</f>
        <v/>
      </c>
      <c r="H17" s="33">
        <f>-H15+H16</f>
        <v/>
      </c>
      <c r="I17">
        <f>-I15+I16</f>
        <v/>
      </c>
    </row>
    <row r="18">
      <c r="A18" s="8" t="inlineStr"/>
    </row>
    <row r="19">
      <c r="A19" s="13" t="inlineStr">
        <is>
          <t>Net Change in Cash</t>
        </is>
      </c>
      <c r="B19" s="33">
        <f>B12+B17</f>
        <v/>
      </c>
      <c r="C19" s="33">
        <f>C12+C17</f>
        <v/>
      </c>
      <c r="D19" s="33">
        <f>D12+D17</f>
        <v/>
      </c>
      <c r="E19" s="33">
        <f>E12+E17</f>
        <v/>
      </c>
      <c r="F19" s="33">
        <f>F12+F17</f>
        <v/>
      </c>
      <c r="G19" s="33">
        <f>G12+G17</f>
        <v/>
      </c>
      <c r="H19" s="33">
        <f>H12+H17</f>
        <v/>
      </c>
      <c r="I19">
        <f>I12+I17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2026-02-28T18:03:00Z</dcterms:created>
  <dcterms:modified xsi:type="dcterms:W3CDTF">2026-02-28T18:03:00Z</dcterms:modified>
</cp:coreProperties>
</file>