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Income Statement" sheetId="2" state="visible" r:id="rId2"/>
    <sheet name="Balance Sheet" sheetId="3" state="visible" r:id="rId3"/>
    <sheet name="Cash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1B3A5C"/>
      <sz val="10"/>
    </font>
    <font>
      <name val="Arial"/>
      <color rgb="00008000"/>
      <sz val="10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3D5A80"/>
      </patternFill>
    </fill>
    <fill>
      <patternFill patternType="solid">
        <fgColor rgb="00E07A2F"/>
      </patternFill>
    </fill>
    <fill>
      <patternFill patternType="solid">
        <fgColor rgb="00FFFF00"/>
      </patternFill>
    </fill>
    <fill>
      <patternFill patternType="solid">
        <fgColor rgb="00FFF8E1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medium">
        <color rgb="001B3A5C"/>
      </top>
      <bottom style="double">
        <color rgb="001B3A5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164" fontId="4" fillId="0" borderId="0" pivotButton="0" quotePrefix="0" xfId="0"/>
    <xf numFmtId="164" fontId="4" fillId="5" borderId="0" pivotButton="0" quotePrefix="0" xfId="0"/>
    <xf numFmtId="0" fontId="5" fillId="0" borderId="0" pivotButton="0" quotePrefix="0" xfId="0"/>
    <xf numFmtId="1" fontId="4" fillId="0" borderId="0" pivotButton="0" quotePrefix="0" xfId="0"/>
    <xf numFmtId="1" fontId="4" fillId="5" borderId="0" pivotButton="0" quotePrefix="0" xfId="0"/>
    <xf numFmtId="3" fontId="4" fillId="0" borderId="0" pivotButton="0" quotePrefix="0" xfId="0"/>
    <xf numFmtId="3" fontId="4" fillId="5" borderId="0" pivotButton="0" quotePrefix="0" xfId="0"/>
    <xf numFmtId="0" fontId="6" fillId="0" borderId="0" pivotButton="0" quotePrefix="0" xfId="0"/>
    <xf numFmtId="166" fontId="4" fillId="0" borderId="0" pivotButton="0" quotePrefix="0" xfId="0"/>
    <xf numFmtId="166" fontId="0" fillId="6" borderId="0" pivotButton="0" quotePrefix="0" xfId="0"/>
    <xf numFmtId="164" fontId="0" fillId="0" borderId="0" pivotButton="0" quotePrefix="0" xfId="0"/>
    <xf numFmtId="164" fontId="0" fillId="6" borderId="0" pivotButton="0" quotePrefix="0" xfId="0"/>
    <xf numFmtId="0" fontId="6" fillId="0" borderId="2" pivotButton="0" quotePrefix="0" xfId="0"/>
    <xf numFmtId="166" fontId="6" fillId="0" borderId="2" pivotButton="0" quotePrefix="0" xfId="0"/>
    <xf numFmtId="166" fontId="6" fillId="6" borderId="2" pivotButton="0" quotePrefix="0" xfId="0"/>
    <xf numFmtId="0" fontId="0" fillId="6" borderId="0" pivotButton="0" quotePrefix="0" xfId="0"/>
    <xf numFmtId="0" fontId="6" fillId="0" borderId="1" pivotButton="0" quotePrefix="0" xfId="0"/>
    <xf numFmtId="166" fontId="6" fillId="0" borderId="1" pivotButton="0" quotePrefix="0" xfId="0"/>
    <xf numFmtId="166" fontId="6" fillId="6" borderId="1" pivotButton="0" quotePrefix="0" xfId="0"/>
    <xf numFmtId="166" fontId="7" fillId="6" borderId="0" pivotButton="0" quotePrefix="0" xfId="0"/>
    <xf numFmtId="0" fontId="7" fillId="0" borderId="0" pivotButton="0" quotePrefix="0" xfId="0"/>
    <xf numFmtId="166" fontId="4" fillId="6" borderId="0" pivotButton="0" quotePrefix="0" xfId="0"/>
    <xf numFmtId="0" fontId="4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5" fontId="0" fillId="6" borderId="0" pivotButton="0" quotePrefix="0" xfId="0"/>
    <xf numFmtId="166" fontId="7" fillId="0" borderId="0" pivotButton="0" quotePrefix="0" xfId="0"/>
    <xf numFmtId="166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Key Assumptions � UBER (Uber Technologies) [UPDATED POST Q4-2025]</t>
        </is>
      </c>
    </row>
    <row r="3">
      <c r="A3" s="2" t="inlineStr"/>
      <c r="B3" s="3" t="inlineStr">
        <is>
          <t>2023A</t>
        </is>
      </c>
      <c r="C3" s="3" t="inlineStr">
        <is>
          <t>2024A</t>
        </is>
      </c>
      <c r="D3" s="3" t="inlineStr">
        <is>
          <t>2025A</t>
        </is>
      </c>
      <c r="E3" s="4" t="inlineStr">
        <is>
          <t>2026E</t>
        </is>
      </c>
      <c r="F3" s="4" t="inlineStr">
        <is>
          <t>2027E</t>
        </is>
      </c>
      <c r="G3" s="4" t="inlineStr">
        <is>
          <t>2028E</t>
        </is>
      </c>
      <c r="H3" s="2" t="inlineStr">
        <is>
          <t>2029E</t>
        </is>
      </c>
    </row>
    <row r="4">
      <c r="A4" s="5" t="inlineStr">
        <is>
          <t>Revenue Growth %</t>
        </is>
      </c>
      <c r="B4" s="6" t="n">
        <v>0.143</v>
      </c>
      <c r="C4" s="6" t="n">
        <v>0.177</v>
      </c>
      <c r="D4" s="6" t="n">
        <v>0.183</v>
      </c>
      <c r="E4" s="7" t="n">
        <v>0.178</v>
      </c>
      <c r="F4" s="7" t="n">
        <v>0.155</v>
      </c>
      <c r="G4" s="7" t="n">
        <v>0.136</v>
      </c>
      <c r="H4" s="7" t="n">
        <v>0.109</v>
      </c>
    </row>
    <row r="5">
      <c r="A5" s="5" t="inlineStr">
        <is>
          <t>COGS % of Revenue</t>
        </is>
      </c>
      <c r="B5" s="6" t="n">
        <v>0.632</v>
      </c>
      <c r="C5" s="6" t="n">
        <v>0.625</v>
      </c>
      <c r="D5" s="6" t="n">
        <v>0.618</v>
      </c>
      <c r="E5" s="7" t="n">
        <v>0.615</v>
      </c>
      <c r="F5" s="7" t="n">
        <v>0.608</v>
      </c>
      <c r="G5" s="7" t="n">
        <v>0.6</v>
      </c>
      <c r="H5" s="7" t="n">
        <v>0.592</v>
      </c>
    </row>
    <row r="6">
      <c r="A6" s="5" t="inlineStr">
        <is>
          <t>S&amp;M % of Revenue</t>
        </is>
      </c>
      <c r="B6" s="6" t="n">
        <v>0.125</v>
      </c>
      <c r="C6" s="6" t="n">
        <v>0.115</v>
      </c>
      <c r="D6" s="6" t="n">
        <v>0.108</v>
      </c>
      <c r="E6" s="7" t="n">
        <v>0.11</v>
      </c>
      <c r="F6" s="7" t="n">
        <v>0.105</v>
      </c>
      <c r="G6" s="7" t="n">
        <v>0.1</v>
      </c>
      <c r="H6" s="7" t="n">
        <v>0.095</v>
      </c>
    </row>
    <row r="7">
      <c r="A7" s="5" t="inlineStr">
        <is>
          <t>R&amp;D % of Revenue</t>
        </is>
      </c>
      <c r="B7" s="6" t="n">
        <v>0.126</v>
      </c>
      <c r="C7" s="6" t="n">
        <v>0.12</v>
      </c>
      <c r="D7" s="6" t="n">
        <v>0.117</v>
      </c>
      <c r="E7" s="7" t="n">
        <v>0.115</v>
      </c>
      <c r="F7" s="7" t="n">
        <v>0.11</v>
      </c>
      <c r="G7" s="7" t="n">
        <v>0.105</v>
      </c>
      <c r="H7" s="7" t="n">
        <v>0.1</v>
      </c>
    </row>
    <row r="8">
      <c r="A8" s="5" t="inlineStr">
        <is>
          <t>G&amp;A % of Revenue</t>
        </is>
      </c>
      <c r="B8" s="6" t="n">
        <v>0.06</v>
      </c>
      <c r="C8" s="6" t="n">
        <v>0.055</v>
      </c>
      <c r="D8" s="6" t="n">
        <v>0.053</v>
      </c>
      <c r="E8" s="7" t="n">
        <v>0.052</v>
      </c>
      <c r="F8" s="7" t="n">
        <v>0.05</v>
      </c>
      <c r="G8" s="7" t="n">
        <v>0.048</v>
      </c>
      <c r="H8" s="7" t="n">
        <v>0.045</v>
      </c>
    </row>
    <row r="9">
      <c r="A9" s="5" t="inlineStr">
        <is>
          <t>D&amp;A % of Revenue</t>
        </is>
      </c>
      <c r="B9" s="6" t="n">
        <v>0.02</v>
      </c>
      <c r="C9" s="6" t="n">
        <v>0.02</v>
      </c>
      <c r="D9" s="6" t="n">
        <v>0.02</v>
      </c>
      <c r="E9" s="7" t="n">
        <v>0.02</v>
      </c>
      <c r="F9" s="7" t="n">
        <v>0.02</v>
      </c>
      <c r="G9" s="7" t="n">
        <v>0.02</v>
      </c>
      <c r="H9" s="7" t="n">
        <v>0.02</v>
      </c>
    </row>
    <row r="10">
      <c r="A10" s="5" t="inlineStr">
        <is>
          <t>Tax Rate</t>
        </is>
      </c>
      <c r="B10" s="6" t="n">
        <v>0.15</v>
      </c>
      <c r="C10" s="6" t="n">
        <v>0.18</v>
      </c>
      <c r="D10" s="6" t="n">
        <v>0.2</v>
      </c>
      <c r="E10" s="7" t="n">
        <v>0.21</v>
      </c>
      <c r="F10" s="7" t="n">
        <v>0.21</v>
      </c>
      <c r="G10" s="7" t="n">
        <v>0.21</v>
      </c>
      <c r="H10" s="7" t="n">
        <v>0.21</v>
      </c>
    </row>
    <row r="11">
      <c r="A11" s="8" t="inlineStr"/>
    </row>
    <row r="12">
      <c r="A12" s="5" t="inlineStr">
        <is>
          <t>Capex % of Revenue</t>
        </is>
      </c>
      <c r="B12" s="6" t="n">
        <v>0.02</v>
      </c>
      <c r="C12" s="6" t="n">
        <v>0.022</v>
      </c>
      <c r="D12" s="6" t="n">
        <v>0.022</v>
      </c>
      <c r="E12" s="7" t="n">
        <v>0.022</v>
      </c>
      <c r="F12" s="7" t="n">
        <v>0.023</v>
      </c>
      <c r="G12" s="7" t="n">
        <v>0.023</v>
      </c>
      <c r="H12" s="7" t="n">
        <v>0.023</v>
      </c>
    </row>
    <row r="13">
      <c r="A13" s="5" t="inlineStr">
        <is>
          <t>AR Days</t>
        </is>
      </c>
      <c r="B13" s="9" t="n">
        <v>22</v>
      </c>
      <c r="C13" s="9" t="n">
        <v>20</v>
      </c>
      <c r="D13" s="9" t="n">
        <v>19</v>
      </c>
      <c r="E13" s="10" t="n">
        <v>19</v>
      </c>
      <c r="F13" s="10" t="n">
        <v>18</v>
      </c>
      <c r="G13" s="10" t="n">
        <v>18</v>
      </c>
      <c r="H13" s="10" t="n">
        <v>17</v>
      </c>
    </row>
    <row r="14">
      <c r="A14" s="5" t="inlineStr">
        <is>
          <t>AP Days</t>
        </is>
      </c>
      <c r="B14" s="9" t="n">
        <v>32</v>
      </c>
      <c r="C14" s="9" t="n">
        <v>30</v>
      </c>
      <c r="D14" s="9" t="n">
        <v>28</v>
      </c>
      <c r="E14" s="10" t="n">
        <v>27</v>
      </c>
      <c r="F14" s="10" t="n">
        <v>26</v>
      </c>
      <c r="G14" s="10" t="n">
        <v>25</v>
      </c>
      <c r="H14" s="10" t="n">
        <v>25</v>
      </c>
    </row>
    <row r="15">
      <c r="A15" s="5" t="inlineStr">
        <is>
          <t>Accrued Liabilities % Rev</t>
        </is>
      </c>
      <c r="B15" s="6" t="n">
        <v>0.08</v>
      </c>
      <c r="C15" s="6" t="n">
        <v>0.078</v>
      </c>
      <c r="D15" s="6" t="n">
        <v>0.075</v>
      </c>
      <c r="E15" s="7" t="n">
        <v>0.073</v>
      </c>
      <c r="F15" s="7" t="n">
        <v>0.07000000000000001</v>
      </c>
      <c r="G15" s="7" t="n">
        <v>0.068</v>
      </c>
      <c r="H15" s="7" t="n">
        <v>0.065</v>
      </c>
    </row>
    <row r="16">
      <c r="A16" s="8" t="inlineStr"/>
    </row>
    <row r="17">
      <c r="A17" s="5" t="inlineStr">
        <is>
          <t>Interest Rate on Debt</t>
        </is>
      </c>
      <c r="B17" s="6" t="n">
        <v>0.05</v>
      </c>
      <c r="C17" s="6" t="n">
        <v>0.05</v>
      </c>
      <c r="D17" s="6" t="n">
        <v>0.048</v>
      </c>
      <c r="E17" s="7" t="n">
        <v>0.048</v>
      </c>
      <c r="F17" s="7" t="n">
        <v>0.046</v>
      </c>
      <c r="G17" s="7" t="n">
        <v>0.044</v>
      </c>
      <c r="H17" s="7" t="n">
        <v>0.042</v>
      </c>
    </row>
    <row r="18">
      <c r="A18" s="5" t="inlineStr">
        <is>
          <t>Shares Outstanding (M)</t>
        </is>
      </c>
      <c r="B18" s="11" t="n">
        <v>2052</v>
      </c>
      <c r="C18" s="11" t="n">
        <v>2068</v>
      </c>
      <c r="D18" s="11" t="n">
        <v>2084</v>
      </c>
      <c r="E18" s="12" t="n">
        <v>2042</v>
      </c>
      <c r="F18" s="12" t="n">
        <v>2000</v>
      </c>
      <c r="G18" s="12" t="n">
        <v>1960</v>
      </c>
      <c r="H18" s="12" t="n">
        <v>1920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5F8A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Income Statement � UBER ($M) [UPDATED POST Q4-2025]</t>
        </is>
      </c>
    </row>
    <row r="3">
      <c r="A3" s="2" t="inlineStr"/>
      <c r="B3" s="2" t="inlineStr">
        <is>
          <t>2023A</t>
        </is>
      </c>
      <c r="C3" s="2" t="inlineStr">
        <is>
          <t>2024A</t>
        </is>
      </c>
      <c r="D3" s="2" t="inlineStr">
        <is>
          <t>2025A</t>
        </is>
      </c>
      <c r="E3" s="2" t="inlineStr">
        <is>
          <t>2026E</t>
        </is>
      </c>
      <c r="F3" s="2" t="inlineStr">
        <is>
          <t>2027E</t>
        </is>
      </c>
      <c r="G3" s="2" t="inlineStr">
        <is>
          <t>2028E</t>
        </is>
      </c>
      <c r="H3" s="2" t="inlineStr">
        <is>
          <t>2029E</t>
        </is>
      </c>
    </row>
    <row r="4">
      <c r="A4" s="13" t="inlineStr">
        <is>
          <t>Revenue</t>
        </is>
      </c>
      <c r="B4" s="14" t="n">
        <v>37281</v>
      </c>
      <c r="C4" s="14" t="n">
        <v>43953</v>
      </c>
      <c r="D4" s="14" t="n">
        <v>52020</v>
      </c>
      <c r="E4" s="15">
        <f>D4*(1+Assumptions!E4)</f>
        <v/>
      </c>
      <c r="F4" s="15">
        <f>E4*(1+Assumptions!F4)</f>
        <v/>
      </c>
      <c r="G4" s="15">
        <f>F4*(1+Assumptions!G4)</f>
        <v/>
      </c>
      <c r="H4">
        <f>G4*(1+Assumptions!H4)</f>
        <v/>
      </c>
    </row>
    <row r="5">
      <c r="A5" s="8" t="inlineStr">
        <is>
          <t>YoY Growth %</t>
        </is>
      </c>
      <c r="B5" s="16" t="n">
        <v>0.143</v>
      </c>
      <c r="C5" s="16">
        <f>(C4-B4)/B4</f>
        <v/>
      </c>
      <c r="D5" s="16">
        <f>(D4-C4)/C4</f>
        <v/>
      </c>
      <c r="E5" s="17">
        <f>Assumptions!E4</f>
        <v/>
      </c>
      <c r="F5" s="17">
        <f>Assumptions!F4</f>
        <v/>
      </c>
      <c r="G5" s="17">
        <f>Assumptions!G4</f>
        <v/>
      </c>
      <c r="H5" s="16">
        <f>Assumptions!H4</f>
        <v/>
      </c>
    </row>
    <row r="6">
      <c r="A6" s="8" t="inlineStr">
        <is>
          <t>(-) Cost of Revenue</t>
        </is>
      </c>
      <c r="B6" s="14" t="n">
        <v>23567</v>
      </c>
      <c r="C6" s="14" t="n">
        <v>27471</v>
      </c>
      <c r="D6" s="14" t="n">
        <v>32149</v>
      </c>
      <c r="E6" s="15">
        <f>E4*Assumptions!E5</f>
        <v/>
      </c>
      <c r="F6" s="15">
        <f>F4*Assumptions!F5</f>
        <v/>
      </c>
      <c r="G6" s="15">
        <f>G4*Assumptions!G5</f>
        <v/>
      </c>
      <c r="H6">
        <f>H4*Assumptions!H5</f>
        <v/>
      </c>
    </row>
    <row r="7">
      <c r="A7" s="18" t="inlineStr">
        <is>
          <t>Gross Profit</t>
        </is>
      </c>
      <c r="B7" s="19">
        <f>B4-B6</f>
        <v/>
      </c>
      <c r="C7" s="19">
        <f>C4-C6</f>
        <v/>
      </c>
      <c r="D7" s="19">
        <f>D4-D6</f>
        <v/>
      </c>
      <c r="E7" s="20">
        <f>E4-E6</f>
        <v/>
      </c>
      <c r="F7" s="20">
        <f>F4-F6</f>
        <v/>
      </c>
      <c r="G7" s="20">
        <f>G4-G6</f>
        <v/>
      </c>
      <c r="H7">
        <f>H4-H6</f>
        <v/>
      </c>
    </row>
    <row r="8">
      <c r="A8" s="8" t="inlineStr">
        <is>
          <t>Gross Margin %</t>
        </is>
      </c>
      <c r="B8" s="16">
        <f>B7/B4</f>
        <v/>
      </c>
      <c r="C8" s="16">
        <f>C7/C4</f>
        <v/>
      </c>
      <c r="D8" s="16">
        <f>D7/D4</f>
        <v/>
      </c>
      <c r="E8" s="17">
        <f>E7/E4</f>
        <v/>
      </c>
      <c r="F8" s="17">
        <f>F7/F4</f>
        <v/>
      </c>
      <c r="G8" s="17">
        <f>G7/G4</f>
        <v/>
      </c>
      <c r="H8" s="16">
        <f>H7/H4</f>
        <v/>
      </c>
    </row>
    <row r="9">
      <c r="A9" s="8" t="inlineStr"/>
      <c r="E9" s="21" t="n"/>
      <c r="F9" s="21" t="n"/>
      <c r="G9" s="21" t="n"/>
    </row>
    <row r="10">
      <c r="A10" s="8" t="inlineStr">
        <is>
          <t>(-) Sales &amp; Marketing</t>
        </is>
      </c>
      <c r="B10" s="14" t="n">
        <v>4661</v>
      </c>
      <c r="C10" s="14" t="n">
        <v>5055</v>
      </c>
      <c r="D10" s="14" t="n">
        <v>5618</v>
      </c>
      <c r="E10" s="15">
        <f>E4*Assumptions!E6</f>
        <v/>
      </c>
      <c r="F10" s="15">
        <f>F4*Assumptions!F6</f>
        <v/>
      </c>
      <c r="G10" s="15">
        <f>G4*Assumptions!G6</f>
        <v/>
      </c>
      <c r="H10">
        <f>H4*Assumptions!H6</f>
        <v/>
      </c>
    </row>
    <row r="11">
      <c r="A11" s="8" t="inlineStr">
        <is>
          <t>(-) Research &amp; Development</t>
        </is>
      </c>
      <c r="B11" s="14" t="n">
        <v>4698</v>
      </c>
      <c r="C11" s="14" t="n">
        <v>5274</v>
      </c>
      <c r="D11" s="14" t="n">
        <v>6086</v>
      </c>
      <c r="E11" s="15">
        <f>E4*Assumptions!E7</f>
        <v/>
      </c>
      <c r="F11" s="15">
        <f>F4*Assumptions!F7</f>
        <v/>
      </c>
      <c r="G11" s="15">
        <f>G4*Assumptions!G7</f>
        <v/>
      </c>
      <c r="H11">
        <f>H4*Assumptions!H7</f>
        <v/>
      </c>
    </row>
    <row r="12">
      <c r="A12" s="8" t="inlineStr">
        <is>
          <t>(-) General &amp; Administrative</t>
        </is>
      </c>
      <c r="B12" s="14" t="n">
        <v>2238</v>
      </c>
      <c r="C12" s="14" t="n">
        <v>2418</v>
      </c>
      <c r="D12" s="14" t="n">
        <v>2757</v>
      </c>
      <c r="E12" s="15">
        <f>E4*Assumptions!E8</f>
        <v/>
      </c>
      <c r="F12" s="15">
        <f>F4*Assumptions!F8</f>
        <v/>
      </c>
      <c r="G12" s="15">
        <f>G4*Assumptions!G8</f>
        <v/>
      </c>
      <c r="H12">
        <f>H4*Assumptions!H8</f>
        <v/>
      </c>
    </row>
    <row r="13">
      <c r="A13" s="22" t="inlineStr">
        <is>
          <t>Total Operating Expenses</t>
        </is>
      </c>
      <c r="B13" s="23">
        <f>B10+B11+B12</f>
        <v/>
      </c>
      <c r="C13" s="23">
        <f>C10+C11+C12</f>
        <v/>
      </c>
      <c r="D13" s="23">
        <f>D10+D11+D12</f>
        <v/>
      </c>
      <c r="E13" s="24">
        <f>E10+E11+E12</f>
        <v/>
      </c>
      <c r="F13" s="24">
        <f>F10+F11+F12</f>
        <v/>
      </c>
      <c r="G13" s="24">
        <f>G10+G11+G12</f>
        <v/>
      </c>
      <c r="H13">
        <f>H10+H11+H12</f>
        <v/>
      </c>
    </row>
    <row r="14">
      <c r="A14" s="8" t="inlineStr"/>
      <c r="E14" s="21" t="n"/>
      <c r="F14" s="21" t="n"/>
      <c r="G14" s="21" t="n"/>
    </row>
    <row r="15">
      <c r="A15" s="18" t="inlineStr">
        <is>
          <t>Operating Income (EBIT)</t>
        </is>
      </c>
      <c r="B15" s="19">
        <f>B7-B13</f>
        <v/>
      </c>
      <c r="C15" s="19">
        <f>C7-C13</f>
        <v/>
      </c>
      <c r="D15" s="19">
        <f>D7-D13</f>
        <v/>
      </c>
      <c r="E15" s="20">
        <f>E7-E13</f>
        <v/>
      </c>
      <c r="F15" s="20">
        <f>F7-F13</f>
        <v/>
      </c>
      <c r="G15" s="20">
        <f>G7-G13</f>
        <v/>
      </c>
      <c r="H15">
        <f>H7-H13</f>
        <v/>
      </c>
    </row>
    <row r="16">
      <c r="A16" s="8" t="inlineStr">
        <is>
          <t>Operating Margin %</t>
        </is>
      </c>
      <c r="B16" s="16">
        <f>B15/B4</f>
        <v/>
      </c>
      <c r="C16" s="16">
        <f>C15/C4</f>
        <v/>
      </c>
      <c r="D16" s="16">
        <f>D15/D4</f>
        <v/>
      </c>
      <c r="E16" s="17">
        <f>E15/E4</f>
        <v/>
      </c>
      <c r="F16" s="17">
        <f>F15/F4</f>
        <v/>
      </c>
      <c r="G16" s="17">
        <f>G15/G4</f>
        <v/>
      </c>
      <c r="H16" s="16">
        <f>H15/H4</f>
        <v/>
      </c>
    </row>
    <row r="17">
      <c r="A17" s="8" t="inlineStr"/>
      <c r="E17" s="21" t="n"/>
      <c r="F17" s="21" t="n"/>
      <c r="G17" s="21" t="n"/>
    </row>
    <row r="18">
      <c r="A18" s="8" t="inlineStr">
        <is>
          <t>(-) Interest Expense</t>
        </is>
      </c>
      <c r="B18" s="14" t="n">
        <v>465</v>
      </c>
      <c r="C18" s="14" t="n">
        <v>475</v>
      </c>
      <c r="D18" s="14" t="n">
        <v>456</v>
      </c>
      <c r="E18" s="25">
        <f>'Balance Sheet'!E14*Assumptions!E17</f>
        <v/>
      </c>
      <c r="F18" s="25">
        <f>'Balance Sheet'!F14*Assumptions!F17</f>
        <v/>
      </c>
      <c r="G18" s="25">
        <f>'Balance Sheet'!G14*Assumptions!G17</f>
        <v/>
      </c>
      <c r="H18" s="26">
        <f>'Balance Sheet'!H14*Assumptions!H17</f>
        <v/>
      </c>
    </row>
    <row r="19">
      <c r="A19" s="8" t="inlineStr">
        <is>
          <t>(+) Other Income / (Expense)</t>
        </is>
      </c>
      <c r="B19" s="14" t="n">
        <v>-600</v>
      </c>
      <c r="C19" s="14" t="n">
        <v>1800</v>
      </c>
      <c r="D19" s="14" t="n">
        <v>900</v>
      </c>
      <c r="E19" s="27" t="n">
        <v>500</v>
      </c>
      <c r="F19" s="27" t="n">
        <v>500</v>
      </c>
      <c r="G19" s="27" t="n">
        <v>500</v>
      </c>
      <c r="H19" s="28" t="n">
        <v>500</v>
      </c>
    </row>
    <row r="20">
      <c r="A20" s="22" t="inlineStr">
        <is>
          <t>Pre-Tax Income</t>
        </is>
      </c>
      <c r="B20" s="23">
        <f>B15-B18+B19</f>
        <v/>
      </c>
      <c r="C20" s="23">
        <f>C15-C18+C19</f>
        <v/>
      </c>
      <c r="D20" s="23">
        <f>D15-D18+D19</f>
        <v/>
      </c>
      <c r="E20" s="24">
        <f>E15-E18+E19</f>
        <v/>
      </c>
      <c r="F20" s="24">
        <f>F15-F18+F19</f>
        <v/>
      </c>
      <c r="G20" s="24">
        <f>G15-G18+G19</f>
        <v/>
      </c>
      <c r="H20">
        <f>H15-H18+H19</f>
        <v/>
      </c>
    </row>
    <row r="21">
      <c r="A21" s="8" t="inlineStr">
        <is>
          <t>(-) Income Tax</t>
        </is>
      </c>
      <c r="B21" s="29">
        <f>B20*Assumptions!B10</f>
        <v/>
      </c>
      <c r="C21" s="29">
        <f>C20*Assumptions!C10</f>
        <v/>
      </c>
      <c r="D21" s="29">
        <f>D20*Assumptions!D10</f>
        <v/>
      </c>
      <c r="E21" s="15">
        <f>E20*Assumptions!E10</f>
        <v/>
      </c>
      <c r="F21" s="15">
        <f>F20*Assumptions!F10</f>
        <v/>
      </c>
      <c r="G21" s="15">
        <f>G20*Assumptions!G10</f>
        <v/>
      </c>
      <c r="H21">
        <f>H20*Assumptions!H10</f>
        <v/>
      </c>
    </row>
    <row r="22">
      <c r="A22" s="8" t="inlineStr">
        <is>
          <t>Effective Tax Rate</t>
        </is>
      </c>
      <c r="B22" s="16">
        <f>IF(B20=0,0,B21/B20)</f>
        <v/>
      </c>
      <c r="C22" s="16">
        <f>IF(C20=0,0,C21/C20)</f>
        <v/>
      </c>
      <c r="D22" s="16">
        <f>IF(D20=0,0,D21/D20)</f>
        <v/>
      </c>
      <c r="E22" s="17">
        <f>IF(E20=0,0,E21/E20)</f>
        <v/>
      </c>
      <c r="F22" s="17">
        <f>IF(F20=0,0,F21/F20)</f>
        <v/>
      </c>
      <c r="G22" s="17">
        <f>IF(G20=0,0,G21/G20)</f>
        <v/>
      </c>
      <c r="H22" s="16">
        <f>IF(H20=0,0,H21/H20)</f>
        <v/>
      </c>
    </row>
    <row r="23">
      <c r="A23" s="18" t="inlineStr">
        <is>
          <t>Net Income</t>
        </is>
      </c>
      <c r="B23" s="19">
        <f>B20-B21</f>
        <v/>
      </c>
      <c r="C23" s="19">
        <f>C20-C21</f>
        <v/>
      </c>
      <c r="D23" s="19">
        <f>D20-D21</f>
        <v/>
      </c>
      <c r="E23" s="20">
        <f>E20-E21</f>
        <v/>
      </c>
      <c r="F23" s="20">
        <f>F20-F21</f>
        <v/>
      </c>
      <c r="G23" s="20">
        <f>G20-G21</f>
        <v/>
      </c>
      <c r="H23">
        <f>H20-H21</f>
        <v/>
      </c>
    </row>
    <row r="24">
      <c r="A24" s="8" t="inlineStr">
        <is>
          <t>Net Margin %</t>
        </is>
      </c>
      <c r="B24" s="16">
        <f>B23/B4</f>
        <v/>
      </c>
      <c r="C24" s="16">
        <f>C23/C4</f>
        <v/>
      </c>
      <c r="D24" s="16">
        <f>D23/D4</f>
        <v/>
      </c>
      <c r="E24" s="17">
        <f>E23/E4</f>
        <v/>
      </c>
      <c r="F24" s="17">
        <f>F23/F4</f>
        <v/>
      </c>
      <c r="G24" s="17">
        <f>G23/G4</f>
        <v/>
      </c>
      <c r="H24" s="16">
        <f>H23/H4</f>
        <v/>
      </c>
    </row>
    <row r="25">
      <c r="A25" s="8" t="inlineStr"/>
      <c r="E25" s="21" t="n"/>
      <c r="F25" s="21" t="n"/>
      <c r="G25" s="21" t="n"/>
    </row>
    <row r="26">
      <c r="A26" s="13" t="inlineStr">
        <is>
          <t>EPS (Diluted)</t>
        </is>
      </c>
      <c r="B26" s="30">
        <f>B23/Assumptions!B18</f>
        <v/>
      </c>
      <c r="C26" s="30">
        <f>C23/Assumptions!C18</f>
        <v/>
      </c>
      <c r="D26" s="30">
        <f>D23/Assumptions!D18</f>
        <v/>
      </c>
      <c r="E26" s="31">
        <f>E23/Assumptions!E18</f>
        <v/>
      </c>
      <c r="F26" s="31">
        <f>F23/Assumptions!F18</f>
        <v/>
      </c>
      <c r="G26" s="31">
        <f>G23/Assumptions!G18</f>
        <v/>
      </c>
      <c r="H26" s="30">
        <f>H23/Assumptions!H18</f>
        <v/>
      </c>
    </row>
    <row r="27">
      <c r="A27" s="22" t="inlineStr">
        <is>
          <t>EBITDA</t>
        </is>
      </c>
      <c r="B27" s="23">
        <f>B15+B4*Assumptions!B9</f>
        <v/>
      </c>
      <c r="C27" s="23">
        <f>C15+C4*Assumptions!C9</f>
        <v/>
      </c>
      <c r="D27" s="23">
        <f>D15+D4*Assumptions!D9</f>
        <v/>
      </c>
      <c r="E27" s="24">
        <f>E15+E4*Assumptions!E9</f>
        <v/>
      </c>
      <c r="F27" s="24">
        <f>F15+F4*Assumptions!F9</f>
        <v/>
      </c>
      <c r="G27" s="24">
        <f>G15+G4*Assumptions!G9</f>
        <v/>
      </c>
      <c r="H27">
        <f>H15+H4*Assumptions!H9</f>
        <v/>
      </c>
    </row>
    <row r="28">
      <c r="A28" s="8" t="inlineStr">
        <is>
          <t>EBITDA Margin %</t>
        </is>
      </c>
      <c r="B28" s="16">
        <f>B27/B4</f>
        <v/>
      </c>
      <c r="C28" s="16">
        <f>C27/C4</f>
        <v/>
      </c>
      <c r="D28" s="16">
        <f>D27/D4</f>
        <v/>
      </c>
      <c r="E28" s="17">
        <f>E27/E4</f>
        <v/>
      </c>
      <c r="F28" s="17">
        <f>F27/F4</f>
        <v/>
      </c>
      <c r="G28" s="17">
        <f>G27/G4</f>
        <v/>
      </c>
      <c r="H28" s="16">
        <f>H27/H4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D7AB5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Balance Sheet � UBER ($M) [UPDATED POST Q4-2025]</t>
        </is>
      </c>
    </row>
    <row r="3">
      <c r="A3" s="2" t="inlineStr"/>
      <c r="B3" s="2" t="inlineStr">
        <is>
          <t>2023A</t>
        </is>
      </c>
      <c r="C3" s="2" t="inlineStr">
        <is>
          <t>2024A</t>
        </is>
      </c>
      <c r="D3" s="2" t="inlineStr">
        <is>
          <t>2025A</t>
        </is>
      </c>
      <c r="E3" s="2" t="inlineStr">
        <is>
          <t>2026E</t>
        </is>
      </c>
      <c r="F3" s="2" t="inlineStr">
        <is>
          <t>2027E</t>
        </is>
      </c>
      <c r="G3" s="2" t="inlineStr">
        <is>
          <t>2028E</t>
        </is>
      </c>
      <c r="H3" s="2" t="inlineStr">
        <is>
          <t>2029E</t>
        </is>
      </c>
    </row>
    <row r="4">
      <c r="A4" s="13" t="inlineStr">
        <is>
          <t>ASSETS</t>
        </is>
      </c>
    </row>
    <row r="5">
      <c r="A5" s="8" t="inlineStr">
        <is>
          <t>Cash &amp; Equivalents</t>
        </is>
      </c>
      <c r="B5" s="14" t="n">
        <v>5088</v>
      </c>
      <c r="C5" s="14" t="n">
        <v>5700</v>
      </c>
      <c r="D5" s="14" t="n">
        <v>7000</v>
      </c>
      <c r="E5" s="32">
        <f>D5+'Cash Flow'!E19</f>
        <v/>
      </c>
      <c r="F5" s="32">
        <f>E5+'Cash Flow'!F19</f>
        <v/>
      </c>
      <c r="G5" s="32">
        <f>F5+'Cash Flow'!G19</f>
        <v/>
      </c>
      <c r="H5" s="26">
        <f>G5+'Cash Flow'!H19</f>
        <v/>
      </c>
    </row>
    <row r="6">
      <c r="A6" s="8" t="inlineStr">
        <is>
          <t>Short-Term Investments</t>
        </is>
      </c>
      <c r="B6" s="14" t="n">
        <v>900</v>
      </c>
      <c r="C6" s="14" t="n">
        <v>1000</v>
      </c>
      <c r="D6" s="14" t="n">
        <v>1200</v>
      </c>
      <c r="E6" s="29">
        <f>D6*1.05</f>
        <v/>
      </c>
      <c r="F6" s="29">
        <f>E6*1.05</f>
        <v/>
      </c>
      <c r="G6" s="29">
        <f>F6*1.05</f>
        <v/>
      </c>
      <c r="H6">
        <f>G6*1.05</f>
        <v/>
      </c>
    </row>
    <row r="7">
      <c r="A7" s="8" t="inlineStr">
        <is>
          <t>Accounts Receivable</t>
        </is>
      </c>
      <c r="B7" s="14" t="n">
        <v>2249</v>
      </c>
      <c r="C7" s="14" t="n">
        <v>2403</v>
      </c>
      <c r="D7" s="14" t="n">
        <v>2708</v>
      </c>
      <c r="E7" s="29">
        <f>'Income Statement'!E4*Assumptions!E13/365</f>
        <v/>
      </c>
      <c r="F7" s="29">
        <f>'Income Statement'!F4*Assumptions!F13/365</f>
        <v/>
      </c>
      <c r="G7" s="29">
        <f>'Income Statement'!G4*Assumptions!G13/365</f>
        <v/>
      </c>
      <c r="H7">
        <f>'Income Statement'!H4*Assumptions!H13/365</f>
        <v/>
      </c>
    </row>
    <row r="8">
      <c r="A8" s="8" t="inlineStr">
        <is>
          <t>Other Current Assets</t>
        </is>
      </c>
      <c r="B8" s="14" t="n">
        <v>1800</v>
      </c>
      <c r="C8" s="14" t="n">
        <v>2000</v>
      </c>
      <c r="D8" s="14" t="n">
        <v>2300</v>
      </c>
      <c r="E8" s="29">
        <f>D8*1.05</f>
        <v/>
      </c>
      <c r="F8" s="29">
        <f>E8*1.05</f>
        <v/>
      </c>
      <c r="G8" s="29">
        <f>F8*1.05</f>
        <v/>
      </c>
      <c r="H8">
        <f>G8*1.05</f>
        <v/>
      </c>
    </row>
    <row r="9">
      <c r="A9" s="13" t="inlineStr">
        <is>
          <t>Total Current Assets</t>
        </is>
      </c>
      <c r="B9" s="33">
        <f>SUM(B5:B8)</f>
        <v/>
      </c>
      <c r="C9" s="33">
        <f>SUM(C5:C8)</f>
        <v/>
      </c>
      <c r="D9" s="33">
        <f>SUM(D5:D8)</f>
        <v/>
      </c>
      <c r="E9" s="33">
        <f>SUM(E5:E8)</f>
        <v/>
      </c>
      <c r="F9" s="33">
        <f>SUM(F5:F8)</f>
        <v/>
      </c>
      <c r="G9" s="33">
        <f>SUM(G5:G8)</f>
        <v/>
      </c>
      <c r="H9">
        <f>SUM(H5:H8)</f>
        <v/>
      </c>
    </row>
    <row r="10">
      <c r="A10" s="8" t="inlineStr"/>
    </row>
    <row r="11">
      <c r="A11" s="8" t="inlineStr">
        <is>
          <t>PP&amp;E (net)</t>
        </is>
      </c>
      <c r="B11" s="14" t="n">
        <v>2095</v>
      </c>
      <c r="C11" s="14" t="n">
        <v>2300</v>
      </c>
      <c r="D11" s="14" t="n">
        <v>2600</v>
      </c>
      <c r="E11" s="29">
        <f>D11+'Income Statement'!E4*Assumptions!E12-'Income Statement'!E4*Assumptions!E9</f>
        <v/>
      </c>
      <c r="F11" s="29">
        <f>E11+'Income Statement'!F4*Assumptions!F12-'Income Statement'!F4*Assumptions!F9</f>
        <v/>
      </c>
      <c r="G11" s="29">
        <f>F11+'Income Statement'!G4*Assumptions!G12-'Income Statement'!G4*Assumptions!G9</f>
        <v/>
      </c>
      <c r="H11">
        <f>G11+'Income Statement'!H4*Assumptions!H12-'Income Statement'!H4*Assumptions!H9</f>
        <v/>
      </c>
    </row>
    <row r="12">
      <c r="A12" s="8" t="inlineStr">
        <is>
          <t>Goodwill</t>
        </is>
      </c>
      <c r="B12" s="14" t="n">
        <v>16100</v>
      </c>
      <c r="C12" s="14" t="n">
        <v>16300</v>
      </c>
      <c r="D12" s="14" t="n">
        <v>16300</v>
      </c>
      <c r="E12" s="29">
        <f>D12</f>
        <v/>
      </c>
      <c r="F12" s="29">
        <f>E12</f>
        <v/>
      </c>
      <c r="G12" s="29">
        <f>F12</f>
        <v/>
      </c>
      <c r="H12">
        <f>G12</f>
        <v/>
      </c>
    </row>
    <row r="13">
      <c r="A13" s="8" t="inlineStr">
        <is>
          <t>Equity Investments</t>
        </is>
      </c>
      <c r="B13" s="14" t="n">
        <v>13800</v>
      </c>
      <c r="C13" s="14" t="n">
        <v>15000</v>
      </c>
      <c r="D13" s="14" t="n">
        <v>15000</v>
      </c>
      <c r="E13" s="29">
        <f>D13</f>
        <v/>
      </c>
      <c r="F13" s="29">
        <f>E13</f>
        <v/>
      </c>
      <c r="G13" s="29">
        <f>F13</f>
        <v/>
      </c>
      <c r="H13">
        <f>G13</f>
        <v/>
      </c>
    </row>
    <row r="14">
      <c r="A14" s="8" t="inlineStr">
        <is>
          <t>Long-Term Debt</t>
        </is>
      </c>
      <c r="B14" s="14" t="n">
        <v>9459</v>
      </c>
      <c r="C14" s="14" t="n">
        <v>9500</v>
      </c>
      <c r="D14" s="14" t="n">
        <v>9500</v>
      </c>
      <c r="E14" s="29">
        <f>D14</f>
        <v/>
      </c>
      <c r="F14" s="29">
        <f>E14</f>
        <v/>
      </c>
      <c r="G14" s="29">
        <f>F14</f>
        <v/>
      </c>
      <c r="H14">
        <f>G14</f>
        <v/>
      </c>
    </row>
    <row r="15">
      <c r="A15" s="8" t="inlineStr">
        <is>
          <t>Other Non-Current Assets</t>
        </is>
      </c>
      <c r="B15" s="14" t="n">
        <v>3200</v>
      </c>
      <c r="C15" s="14" t="n">
        <v>3500</v>
      </c>
      <c r="D15" s="14" t="n">
        <v>3800</v>
      </c>
      <c r="E15" s="29">
        <f>D15*1.03</f>
        <v/>
      </c>
      <c r="F15" s="29">
        <f>E15*1.03</f>
        <v/>
      </c>
      <c r="G15" s="29">
        <f>F15*1.03</f>
        <v/>
      </c>
      <c r="H15">
        <f>G15*1.03</f>
        <v/>
      </c>
    </row>
    <row r="16">
      <c r="A16" s="13" t="inlineStr">
        <is>
          <t>Total Assets</t>
        </is>
      </c>
      <c r="B16" s="33">
        <f>B9+B11+B12+B13+B14+B15</f>
        <v/>
      </c>
      <c r="C16" s="33">
        <f>C9+C11+C12+C13+C14+C15</f>
        <v/>
      </c>
      <c r="D16" s="33">
        <f>D9+D11+D12+D13+D14+D15</f>
        <v/>
      </c>
      <c r="E16" s="33">
        <f>E9+E11+E12+E13+E14+E15</f>
        <v/>
      </c>
      <c r="F16" s="33">
        <f>F9+F11+F12+F13+F14+F15</f>
        <v/>
      </c>
      <c r="G16" s="33">
        <f>G9+G11+G12+G13+G14+G15</f>
        <v/>
      </c>
      <c r="H16">
        <f>H9+H11+H12+H13+H14+H15</f>
        <v/>
      </c>
    </row>
    <row r="17">
      <c r="A17" s="8" t="inlineStr"/>
    </row>
    <row r="18">
      <c r="A18" s="13" t="inlineStr">
        <is>
          <t>LIABILITIES</t>
        </is>
      </c>
    </row>
    <row r="19">
      <c r="A19" s="8" t="inlineStr">
        <is>
          <t>Accounts Payable</t>
        </is>
      </c>
      <c r="B19" s="14" t="n">
        <v>1900</v>
      </c>
      <c r="C19" s="14" t="n">
        <v>2050</v>
      </c>
      <c r="D19" s="14" t="n">
        <v>2350</v>
      </c>
      <c r="E19" s="29">
        <f>'Income Statement'!E6*Assumptions!E14/365</f>
        <v/>
      </c>
      <c r="F19" s="29">
        <f>'Income Statement'!F6*Assumptions!F14/365</f>
        <v/>
      </c>
      <c r="G19" s="29">
        <f>'Income Statement'!G6*Assumptions!G14/365</f>
        <v/>
      </c>
      <c r="H19">
        <f>'Income Statement'!H6*Assumptions!H14/365</f>
        <v/>
      </c>
    </row>
    <row r="20">
      <c r="A20" s="8" t="inlineStr">
        <is>
          <t>Accrued Liabilities</t>
        </is>
      </c>
      <c r="B20" s="14" t="n">
        <v>2985</v>
      </c>
      <c r="C20" s="14" t="n">
        <v>3432</v>
      </c>
      <c r="D20" s="14" t="n">
        <v>3903</v>
      </c>
      <c r="E20" s="29">
        <f>'Income Statement'!E4*Assumptions!E15</f>
        <v/>
      </c>
      <c r="F20" s="29">
        <f>'Income Statement'!F4*Assumptions!F15</f>
        <v/>
      </c>
      <c r="G20" s="29">
        <f>'Income Statement'!G4*Assumptions!G15</f>
        <v/>
      </c>
      <c r="H20">
        <f>'Income Statement'!H4*Assumptions!H15</f>
        <v/>
      </c>
    </row>
    <row r="21">
      <c r="A21" s="8" t="inlineStr">
        <is>
          <t>Short-Term Debt</t>
        </is>
      </c>
      <c r="B21" s="14" t="n">
        <v>500</v>
      </c>
      <c r="C21" s="14" t="n">
        <v>500</v>
      </c>
      <c r="D21" s="14" t="n">
        <v>500</v>
      </c>
      <c r="E21" s="29">
        <f>D21</f>
        <v/>
      </c>
      <c r="F21" s="29">
        <f>E21</f>
        <v/>
      </c>
      <c r="G21" s="29">
        <f>F21</f>
        <v/>
      </c>
      <c r="H21">
        <f>G21</f>
        <v/>
      </c>
    </row>
    <row r="22">
      <c r="A22" s="8" t="inlineStr">
        <is>
          <t>Other Current Liabilities</t>
        </is>
      </c>
      <c r="B22" s="14" t="n">
        <v>3000</v>
      </c>
      <c r="C22" s="14" t="n">
        <v>3200</v>
      </c>
      <c r="D22" s="14" t="n">
        <v>3500</v>
      </c>
      <c r="E22" s="29">
        <f>D22*1.03</f>
        <v/>
      </c>
      <c r="F22" s="29">
        <f>E22*1.03</f>
        <v/>
      </c>
      <c r="G22" s="29">
        <f>F22*1.03</f>
        <v/>
      </c>
      <c r="H22">
        <f>G22*1.03</f>
        <v/>
      </c>
    </row>
    <row r="23">
      <c r="A23" s="13" t="inlineStr">
        <is>
          <t>Total Current Liabilities</t>
        </is>
      </c>
      <c r="B23" s="33">
        <f>SUM(B19:B22)</f>
        <v/>
      </c>
      <c r="C23" s="33">
        <f>SUM(C19:C22)</f>
        <v/>
      </c>
      <c r="D23" s="33">
        <f>SUM(D19:D22)</f>
        <v/>
      </c>
      <c r="E23" s="33">
        <f>SUM(E19:E22)</f>
        <v/>
      </c>
      <c r="F23" s="33">
        <f>SUM(F19:F22)</f>
        <v/>
      </c>
      <c r="G23" s="33">
        <f>SUM(G19:G22)</f>
        <v/>
      </c>
      <c r="H23">
        <f>SUM(H19:H22)</f>
        <v/>
      </c>
    </row>
    <row r="24">
      <c r="A24" s="8" t="inlineStr"/>
    </row>
    <row r="25">
      <c r="A25" s="8" t="inlineStr">
        <is>
          <t>Long-Term Debt</t>
        </is>
      </c>
      <c r="B25" s="14" t="n">
        <v>9459</v>
      </c>
      <c r="C25" s="14" t="n">
        <v>9500</v>
      </c>
      <c r="D25" s="14" t="n">
        <v>9500</v>
      </c>
      <c r="E25" s="29">
        <f>D25</f>
        <v/>
      </c>
      <c r="F25" s="29">
        <f>E25</f>
        <v/>
      </c>
      <c r="G25" s="29">
        <f>F25</f>
        <v/>
      </c>
      <c r="H25">
        <f>G25</f>
        <v/>
      </c>
    </row>
    <row r="26">
      <c r="A26" s="8" t="inlineStr">
        <is>
          <t>Other Non-Current Liabilities</t>
        </is>
      </c>
      <c r="B26" s="14" t="n">
        <v>5000</v>
      </c>
      <c r="C26" s="14" t="n">
        <v>5200</v>
      </c>
      <c r="D26" s="14" t="n">
        <v>5400</v>
      </c>
      <c r="E26" s="29">
        <f>D26*1.02</f>
        <v/>
      </c>
      <c r="F26" s="29">
        <f>E26*1.02</f>
        <v/>
      </c>
      <c r="G26" s="29">
        <f>F26*1.02</f>
        <v/>
      </c>
      <c r="H26">
        <f>G26*1.02</f>
        <v/>
      </c>
    </row>
    <row r="27">
      <c r="A27" s="13" t="inlineStr">
        <is>
          <t>Total Liabilities</t>
        </is>
      </c>
      <c r="B27" s="33">
        <f>B23+B25+B26</f>
        <v/>
      </c>
      <c r="C27" s="33">
        <f>C23+C25+C26</f>
        <v/>
      </c>
      <c r="D27" s="33">
        <f>D23+D25+D26</f>
        <v/>
      </c>
      <c r="E27" s="33">
        <f>E23+E25+E26</f>
        <v/>
      </c>
      <c r="F27" s="33">
        <f>F23+F25+F26</f>
        <v/>
      </c>
      <c r="G27" s="33">
        <f>G23+G25+G26</f>
        <v/>
      </c>
      <c r="H27">
        <f>H23+H25+H26</f>
        <v/>
      </c>
    </row>
    <row r="28">
      <c r="A28" s="8" t="inlineStr"/>
    </row>
    <row r="29">
      <c r="A29" s="13" t="inlineStr">
        <is>
          <t>EQUITY</t>
        </is>
      </c>
    </row>
    <row r="30">
      <c r="A30" s="8" t="inlineStr">
        <is>
          <t>Retained Earnings</t>
        </is>
      </c>
      <c r="B30" s="29">
        <f>B16-B27-B31</f>
        <v/>
      </c>
      <c r="C30" s="29">
        <f>C16-C27-C31</f>
        <v/>
      </c>
      <c r="D30" s="29">
        <f>D16-D27-D31</f>
        <v/>
      </c>
      <c r="E30" s="29">
        <f>D30+'Income Statement'!E23</f>
        <v/>
      </c>
      <c r="F30" s="29">
        <f>E30+'Income Statement'!F23</f>
        <v/>
      </c>
      <c r="G30" s="29">
        <f>F30+'Income Statement'!G23</f>
        <v/>
      </c>
      <c r="H30">
        <f>G30+'Income Statement'!H23</f>
        <v/>
      </c>
    </row>
    <row r="31">
      <c r="A31" s="8" t="inlineStr">
        <is>
          <t>Other Equity</t>
        </is>
      </c>
      <c r="B31" s="14" t="n">
        <v>20188</v>
      </c>
      <c r="C31" s="14" t="n">
        <v>23321</v>
      </c>
      <c r="D31" s="14" t="n">
        <v>28000</v>
      </c>
      <c r="E31" s="29">
        <f>D31</f>
        <v/>
      </c>
      <c r="F31" s="29">
        <f>E31</f>
        <v/>
      </c>
      <c r="G31" s="29">
        <f>F31</f>
        <v/>
      </c>
      <c r="H31">
        <f>G31</f>
        <v/>
      </c>
    </row>
    <row r="32">
      <c r="A32" s="13" t="inlineStr">
        <is>
          <t>Total Equity</t>
        </is>
      </c>
      <c r="B32" s="33">
        <f>B30+B31</f>
        <v/>
      </c>
      <c r="C32" s="33">
        <f>C30+C31</f>
        <v/>
      </c>
      <c r="D32" s="33">
        <f>D30+D31</f>
        <v/>
      </c>
      <c r="E32" s="33">
        <f>E30+E31</f>
        <v/>
      </c>
      <c r="F32" s="33">
        <f>F30+F31</f>
        <v/>
      </c>
      <c r="G32" s="33">
        <f>G30+G31</f>
        <v/>
      </c>
      <c r="H32">
        <f>H30+H31</f>
        <v/>
      </c>
    </row>
    <row r="33">
      <c r="A33" s="13" t="inlineStr">
        <is>
          <t>Total Liab. + Equity</t>
        </is>
      </c>
      <c r="B33" s="33">
        <f>B27+B32</f>
        <v/>
      </c>
      <c r="C33" s="33">
        <f>C27+C32</f>
        <v/>
      </c>
      <c r="D33" s="33">
        <f>D27+D32</f>
        <v/>
      </c>
      <c r="E33" s="33">
        <f>E27+E32</f>
        <v/>
      </c>
      <c r="F33" s="33">
        <f>F27+F32</f>
        <v/>
      </c>
      <c r="G33" s="33">
        <f>G27+G32</f>
        <v/>
      </c>
      <c r="H33">
        <f>H27+H32</f>
        <v/>
      </c>
    </row>
    <row r="34">
      <c r="A34" s="8" t="inlineStr">
        <is>
          <t>Balance Check (should be 0)</t>
        </is>
      </c>
      <c r="B34" s="29">
        <f>B16-B33</f>
        <v/>
      </c>
      <c r="C34" s="29">
        <f>C16-C33</f>
        <v/>
      </c>
      <c r="D34" s="29">
        <f>D16-D33</f>
        <v/>
      </c>
      <c r="E34" s="29">
        <f>E16-E33</f>
        <v/>
      </c>
      <c r="F34" s="29">
        <f>F16-F33</f>
        <v/>
      </c>
      <c r="G34" s="29">
        <f>G16-G33</f>
        <v/>
      </c>
      <c r="H34" s="29">
        <f>H16-H33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90D9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Cash Flow Statement � UBER ($M) [UPDATED POST Q4-2025]</t>
        </is>
      </c>
    </row>
    <row r="3">
      <c r="A3" s="2" t="inlineStr"/>
      <c r="B3" s="2" t="inlineStr">
        <is>
          <t>2023A</t>
        </is>
      </c>
      <c r="C3" s="2" t="inlineStr">
        <is>
          <t>2024A</t>
        </is>
      </c>
      <c r="D3" s="2" t="inlineStr">
        <is>
          <t>2025A</t>
        </is>
      </c>
      <c r="E3" s="2" t="inlineStr">
        <is>
          <t>2026E</t>
        </is>
      </c>
      <c r="F3" s="2" t="inlineStr">
        <is>
          <t>2027E</t>
        </is>
      </c>
      <c r="G3" s="2" t="inlineStr">
        <is>
          <t>2028E</t>
        </is>
      </c>
      <c r="H3" s="2" t="inlineStr">
        <is>
          <t>2029E</t>
        </is>
      </c>
    </row>
    <row r="4">
      <c r="A4" s="13" t="inlineStr">
        <is>
          <t>OPERATING ACTIVITIES</t>
        </is>
      </c>
    </row>
    <row r="5">
      <c r="A5" s="8" t="inlineStr">
        <is>
          <t>Net Income</t>
        </is>
      </c>
      <c r="B5" s="32">
        <f>'Income Statement'!B23</f>
        <v/>
      </c>
      <c r="C5" s="32">
        <f>'Income Statement'!C23</f>
        <v/>
      </c>
      <c r="D5" s="32">
        <f>'Income Statement'!D23</f>
        <v/>
      </c>
      <c r="E5" s="32">
        <f>'Income Statement'!E23</f>
        <v/>
      </c>
      <c r="F5" s="32">
        <f>'Income Statement'!F23</f>
        <v/>
      </c>
      <c r="G5" s="32">
        <f>'Income Statement'!G23</f>
        <v/>
      </c>
      <c r="H5" s="26">
        <f>'Income Statement'!H23</f>
        <v/>
      </c>
    </row>
    <row r="6">
      <c r="A6" s="8" t="inlineStr">
        <is>
          <t>(+) Depreciation &amp; Amortization</t>
        </is>
      </c>
      <c r="B6" s="29">
        <f>'Income Statement'!B4*Assumptions!B9</f>
        <v/>
      </c>
      <c r="C6" s="29">
        <f>'Income Statement'!C4*Assumptions!C9</f>
        <v/>
      </c>
      <c r="D6" s="29">
        <f>'Income Statement'!D4*Assumptions!D9</f>
        <v/>
      </c>
      <c r="E6" s="29">
        <f>'Income Statement'!E4*Assumptions!E9</f>
        <v/>
      </c>
      <c r="F6" s="29">
        <f>'Income Statement'!F4*Assumptions!F9</f>
        <v/>
      </c>
      <c r="G6" s="29">
        <f>'Income Statement'!G4*Assumptions!G9</f>
        <v/>
      </c>
      <c r="H6">
        <f>'Income Statement'!H4*Assumptions!H9</f>
        <v/>
      </c>
    </row>
    <row r="7">
      <c r="A7" s="8" t="inlineStr">
        <is>
          <t>Stock-Based Compensation</t>
        </is>
      </c>
      <c r="B7" s="14" t="n">
        <v>1900</v>
      </c>
      <c r="C7" s="14" t="n">
        <v>1800</v>
      </c>
      <c r="D7" s="14" t="n">
        <v>1700</v>
      </c>
      <c r="E7" s="14" t="n">
        <v>1500</v>
      </c>
      <c r="F7" s="14" t="n">
        <v>1500</v>
      </c>
      <c r="G7" s="14" t="n">
        <v>1500</v>
      </c>
      <c r="H7" s="28" t="n">
        <v>1500</v>
      </c>
    </row>
    <row r="8">
      <c r="A8" s="8" t="inlineStr">
        <is>
          <t>Changes in Working Capital</t>
        </is>
      </c>
      <c r="B8" s="29" t="n"/>
      <c r="C8" s="29" t="n"/>
      <c r="D8" s="29" t="n"/>
      <c r="E8" s="29">
        <f>E9+E10+E11+E12</f>
        <v/>
      </c>
      <c r="F8" s="29">
        <f>F9+F10+F11+F12</f>
        <v/>
      </c>
      <c r="G8" s="29">
        <f>G9+G10+G11+G12</f>
        <v/>
      </c>
      <c r="H8">
        <f>H9+H10+H11+H12</f>
        <v/>
      </c>
    </row>
    <row r="9">
      <c r="A9" s="8" t="inlineStr">
        <is>
          <t xml:space="preserve">  Change in AR</t>
        </is>
      </c>
      <c r="B9" s="29" t="n"/>
      <c r="C9" s="29" t="n"/>
      <c r="D9" s="29" t="n"/>
      <c r="E9" s="29">
        <f>-('Balance Sheet'!E7-'Balance Sheet'!D7)</f>
        <v/>
      </c>
      <c r="F9" s="29">
        <f>-('Balance Sheet'!F7-'Balance Sheet'!E7)</f>
        <v/>
      </c>
      <c r="G9" s="29">
        <f>-('Balance Sheet'!G7-'Balance Sheet'!F7)</f>
        <v/>
      </c>
      <c r="H9">
        <f>-('Balance Sheet'!H7-'Balance Sheet'!G7)</f>
        <v/>
      </c>
    </row>
    <row r="10">
      <c r="A10" s="8" t="inlineStr">
        <is>
          <t xml:space="preserve">  Change in AP</t>
        </is>
      </c>
      <c r="B10" s="29" t="n"/>
      <c r="C10" s="29" t="n"/>
      <c r="D10" s="29" t="n"/>
      <c r="E10" s="29">
        <f>'Balance Sheet'!E19-'Balance Sheet'!D19</f>
        <v/>
      </c>
      <c r="F10" s="29">
        <f>'Balance Sheet'!F19-'Balance Sheet'!E19</f>
        <v/>
      </c>
      <c r="G10" s="29">
        <f>'Balance Sheet'!G19-'Balance Sheet'!F19</f>
        <v/>
      </c>
      <c r="H10">
        <f>'Balance Sheet'!H19-'Balance Sheet'!G19</f>
        <v/>
      </c>
    </row>
    <row r="11">
      <c r="A11" s="8" t="inlineStr">
        <is>
          <t xml:space="preserve">  Change in Accrued Liab</t>
        </is>
      </c>
      <c r="B11" s="29" t="n"/>
      <c r="C11" s="29" t="n"/>
      <c r="D11" s="29" t="n"/>
      <c r="E11" s="29">
        <f>'Balance Sheet'!E20-'Balance Sheet'!D20</f>
        <v/>
      </c>
      <c r="F11" s="29">
        <f>'Balance Sheet'!F20-'Balance Sheet'!E20</f>
        <v/>
      </c>
      <c r="G11" s="29">
        <f>'Balance Sheet'!G20-'Balance Sheet'!F20</f>
        <v/>
      </c>
      <c r="H11">
        <f>'Balance Sheet'!H20-'Balance Sheet'!G20</f>
        <v/>
      </c>
    </row>
    <row r="12">
      <c r="A12" s="8" t="inlineStr">
        <is>
          <t xml:space="preserve">  Other Operating Changes</t>
        </is>
      </c>
      <c r="B12" s="29" t="n"/>
      <c r="C12" s="29" t="n"/>
      <c r="D12" s="29" t="n"/>
      <c r="E12" s="14" t="n">
        <v>0</v>
      </c>
      <c r="F12" s="14" t="n">
        <v>0</v>
      </c>
      <c r="G12" s="14" t="n">
        <v>0</v>
      </c>
      <c r="H12" s="28" t="n">
        <v>0</v>
      </c>
    </row>
    <row r="13">
      <c r="A13" s="13" t="inlineStr">
        <is>
          <t>Cash from Operations (CFO)</t>
        </is>
      </c>
      <c r="B13" s="33" t="n">
        <v>6867</v>
      </c>
      <c r="C13" s="33" t="n">
        <v>7490</v>
      </c>
      <c r="D13" s="33" t="n">
        <v>10100</v>
      </c>
      <c r="E13" s="33">
        <f>E5+E6+E7+E8</f>
        <v/>
      </c>
      <c r="F13" s="33">
        <f>F5+F6+F7+F8</f>
        <v/>
      </c>
      <c r="G13" s="33">
        <f>G5+G6+G7+G8</f>
        <v/>
      </c>
      <c r="H13">
        <f>H5+H6+H7+H8</f>
        <v/>
      </c>
    </row>
    <row r="14">
      <c r="A14" s="8" t="inlineStr"/>
    </row>
    <row r="15">
      <c r="A15" s="13" t="inlineStr">
        <is>
          <t>INVESTING ACTIVITIES</t>
        </is>
      </c>
    </row>
    <row r="16">
      <c r="A16" s="8" t="inlineStr">
        <is>
          <t>(-) Capital Expenditures</t>
        </is>
      </c>
      <c r="B16" s="14" t="n">
        <v>620</v>
      </c>
      <c r="C16" s="14" t="n">
        <v>750</v>
      </c>
      <c r="D16" s="14" t="n">
        <v>900</v>
      </c>
      <c r="E16" s="29">
        <f>'Income Statement'!E4*Assumptions!E12</f>
        <v/>
      </c>
      <c r="F16" s="29">
        <f>'Income Statement'!F4*Assumptions!F12</f>
        <v/>
      </c>
      <c r="G16" s="29">
        <f>'Income Statement'!G4*Assumptions!G12</f>
        <v/>
      </c>
      <c r="H16">
        <f>'Income Statement'!H4*Assumptions!H12</f>
        <v/>
      </c>
    </row>
    <row r="17">
      <c r="A17" s="8" t="inlineStr">
        <is>
          <t>(-) Net Investment Changes</t>
        </is>
      </c>
      <c r="B17" s="14" t="n">
        <v>-200</v>
      </c>
      <c r="C17" s="14" t="n">
        <v>-200</v>
      </c>
      <c r="D17" s="14" t="n">
        <v>-200</v>
      </c>
      <c r="E17" s="14" t="n">
        <v>-200</v>
      </c>
      <c r="F17" s="14" t="n">
        <v>-200</v>
      </c>
      <c r="G17" s="14" t="n">
        <v>-200</v>
      </c>
      <c r="H17" s="28" t="n">
        <v>-200</v>
      </c>
    </row>
    <row r="18">
      <c r="A18" s="13" t="inlineStr">
        <is>
          <t>Cash from Investing (CFI)</t>
        </is>
      </c>
      <c r="B18" s="33">
        <f>-B16+B17</f>
        <v/>
      </c>
      <c r="C18" s="33">
        <f>-C16+C17</f>
        <v/>
      </c>
      <c r="D18" s="33">
        <f>-D16+D17</f>
        <v/>
      </c>
      <c r="E18" s="33">
        <f>-E16+E17</f>
        <v/>
      </c>
      <c r="F18" s="33">
        <f>-F16+F17</f>
        <v/>
      </c>
      <c r="G18" s="33">
        <f>-G16+G17</f>
        <v/>
      </c>
      <c r="H18">
        <f>-H16+H17</f>
        <v/>
      </c>
    </row>
    <row r="19">
      <c r="A19" s="13" t="inlineStr">
        <is>
          <t>Net Change in Cash</t>
        </is>
      </c>
      <c r="B19" s="33">
        <f>B13+B18</f>
        <v/>
      </c>
      <c r="C19" s="33">
        <f>C13+C18</f>
        <v/>
      </c>
      <c r="D19" s="33">
        <f>D13+D18</f>
        <v/>
      </c>
      <c r="E19" s="33">
        <f>E13+E18</f>
        <v/>
      </c>
      <c r="F19" s="33">
        <f>F13+F18</f>
        <v/>
      </c>
      <c r="G19" s="33">
        <f>G13+G18</f>
        <v/>
      </c>
      <c r="H19">
        <f>H13+H18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2026-02-28T18:40:12Z</dcterms:created>
  <dcterms:modified xsi:type="dcterms:W3CDTF">2026-02-28T18:40:12Z</dcterms:modified>
</cp:coreProperties>
</file>